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RECOVERY (D)\личное\ExcelVBA\GITFOLDER\"/>
    </mc:Choice>
  </mc:AlternateContent>
  <bookViews>
    <workbookView xWindow="0" yWindow="0" windowWidth="21600" windowHeight="9405" tabRatio="880" firstSheet="2" activeTab="2"/>
  </bookViews>
  <sheets>
    <sheet name="loaderSheet" sheetId="17" state="hidden" r:id="rId1"/>
    <sheet name="TrainCheckList" sheetId="19" state="hidden" r:id="rId2"/>
    <sheet name="Ростов" sheetId="2" r:id="rId3"/>
    <sheet name="Адлер" sheetId="3" r:id="rId4"/>
    <sheet name="Калининград" sheetId="5" r:id="rId5"/>
    <sheet name="Владивосток" sheetId="7" r:id="rId6"/>
    <sheet name="Чита" sheetId="8" r:id="rId7"/>
    <sheet name="Красноярск" sheetId="9" r:id="rId8"/>
    <sheet name="Абакан" sheetId="11" r:id="rId9"/>
    <sheet name="Ульяновск" sheetId="12" r:id="rId10"/>
    <sheet name="Уфа" sheetId="13" r:id="rId11"/>
    <sheet name="Пенза" sheetId="14" r:id="rId12"/>
    <sheet name="Самара" sheetId="20" r:id="rId13"/>
    <sheet name="Оренбург" sheetId="21" r:id="rId14"/>
    <sheet name="Новосибирск" sheetId="16" r:id="rId15"/>
    <sheet name="Барнаул" sheetId="23" r:id="rId16"/>
  </sheets>
  <definedNames>
    <definedName name="_xlnm._FilterDatabase" localSheetId="0" hidden="1">loaderSheet!$A$3:$E$4</definedName>
    <definedName name="_xlnm.Print_Area" localSheetId="0">loaderSheet!$A$3:$E$3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3" l="1"/>
  <c r="B4" i="23"/>
  <c r="B5" i="16" l="1"/>
  <c r="B4" i="16"/>
  <c r="B6" i="21" l="1"/>
  <c r="B5" i="21"/>
  <c r="B4" i="21" l="1"/>
  <c r="B5" i="20" l="1"/>
  <c r="B4" i="20"/>
  <c r="B5" i="14" l="1"/>
  <c r="B4" i="14"/>
  <c r="B4" i="13"/>
  <c r="B5" i="13"/>
  <c r="B6" i="13"/>
  <c r="B4" i="12"/>
  <c r="B5" i="12"/>
  <c r="B6" i="12"/>
  <c r="B4" i="11"/>
  <c r="B5" i="11"/>
  <c r="B6" i="11"/>
  <c r="B5" i="7"/>
  <c r="B4" i="7"/>
  <c r="B5" i="5"/>
  <c r="B6" i="5"/>
  <c r="B4" i="5"/>
  <c r="B5" i="3"/>
  <c r="B4" i="3"/>
  <c r="B5" i="2"/>
  <c r="B6" i="2"/>
  <c r="B4" i="2"/>
  <c r="B4" i="8"/>
  <c r="B5" i="8"/>
  <c r="B5" i="9"/>
  <c r="B6" i="9"/>
  <c r="B4" i="9"/>
</calcChain>
</file>

<file path=xl/sharedStrings.xml><?xml version="1.0" encoding="utf-8"?>
<sst xmlns="http://schemas.openxmlformats.org/spreadsheetml/2006/main" count="403" uniqueCount="101">
  <si>
    <t>дата получения</t>
  </si>
  <si>
    <t>дата отправления</t>
  </si>
  <si>
    <t>комплект 3</t>
  </si>
  <si>
    <t>комплект 2</t>
  </si>
  <si>
    <t>Ростов</t>
  </si>
  <si>
    <t>РОСТОВ-ГЛАВНЫЙ</t>
  </si>
  <si>
    <t>АДЛЕР</t>
  </si>
  <si>
    <t>сообщение</t>
  </si>
  <si>
    <t>0642С</t>
  </si>
  <si>
    <t>дата передачи</t>
  </si>
  <si>
    <t>поезд перевозчик</t>
  </si>
  <si>
    <t>0020С,РОСТОВ-ГЛАВНЫЙ</t>
  </si>
  <si>
    <t>№ поездa</t>
  </si>
  <si>
    <t>0644С</t>
  </si>
  <si>
    <t>КИСЛОВОДСК</t>
  </si>
  <si>
    <t>0104В,АДЛЕР</t>
  </si>
  <si>
    <t>Адлер</t>
  </si>
  <si>
    <t>ст. отправления</t>
  </si>
  <si>
    <t>город</t>
  </si>
  <si>
    <t>Калининград</t>
  </si>
  <si>
    <t>КАЛИНИНГРАД ПАСС ЮЖНЫЙ</t>
  </si>
  <si>
    <t>0360С</t>
  </si>
  <si>
    <t>0029Ч,КАЛИНИНГРАД ПАСС ЮЖНЫЙ</t>
  </si>
  <si>
    <t>0002Щ</t>
  </si>
  <si>
    <t>МОСКВА ЯРОСЛАВСКАЯ</t>
  </si>
  <si>
    <t>ВЛАДИВОСТОК</t>
  </si>
  <si>
    <t>Владивосток</t>
  </si>
  <si>
    <t>ЧИТА 2</t>
  </si>
  <si>
    <t>0070Ч,ЧИТА 2</t>
  </si>
  <si>
    <t>0069Ч</t>
  </si>
  <si>
    <t>0269Ч</t>
  </si>
  <si>
    <t>Чита</t>
  </si>
  <si>
    <t>КРАСНОЯРСК ПАСС</t>
  </si>
  <si>
    <t>0056Ы,КРАСНОЯРСК ПАСС</t>
  </si>
  <si>
    <t>0055Ы</t>
  </si>
  <si>
    <t>0085Ы</t>
  </si>
  <si>
    <t>НОВОСИБИРСК-ГЛАВНЫЙ</t>
  </si>
  <si>
    <t>0105Ы</t>
  </si>
  <si>
    <t>0127Ы</t>
  </si>
  <si>
    <t>АНАПА</t>
  </si>
  <si>
    <t>0129Ы</t>
  </si>
  <si>
    <t>Красноярск</t>
  </si>
  <si>
    <t>0067Ы</t>
  </si>
  <si>
    <t>АБАКАН</t>
  </si>
  <si>
    <t>Абакан</t>
  </si>
  <si>
    <t>0068Ы,АБАКАН</t>
  </si>
  <si>
    <t>0002Щ, ВЛАДИВОСТОК</t>
  </si>
  <si>
    <t>0045Е</t>
  </si>
  <si>
    <t>УЛЬЯНОВСК ЦЕНТР.</t>
  </si>
  <si>
    <t>Ульяновск</t>
  </si>
  <si>
    <t>Уфа</t>
  </si>
  <si>
    <t>0144Й</t>
  </si>
  <si>
    <t>УФА</t>
  </si>
  <si>
    <t>НИЖНЕВАРТОВСК 1</t>
  </si>
  <si>
    <t>0332Й</t>
  </si>
  <si>
    <t>НОВЫЙ УРЕНГОЙ</t>
  </si>
  <si>
    <t>МОСКВА КАЗАНСКАЯ</t>
  </si>
  <si>
    <t>0013У</t>
  </si>
  <si>
    <t>0118Н</t>
  </si>
  <si>
    <t>НОВОКУЗНЕЦК</t>
  </si>
  <si>
    <t>ПЕНЗА 1</t>
  </si>
  <si>
    <t>0116Й,УФА</t>
  </si>
  <si>
    <t>Пенза</t>
  </si>
  <si>
    <t>САНКТ-ПЕТЕРБУРГ-ГЛАВН.</t>
  </si>
  <si>
    <t>0107Й</t>
  </si>
  <si>
    <t>0094Й,ПЕНЗА 1</t>
  </si>
  <si>
    <t>0102Й</t>
  </si>
  <si>
    <t>0008Н</t>
  </si>
  <si>
    <t>0013Н</t>
  </si>
  <si>
    <t>САНКТ-ПЕТЕРБУРГ ЛАДОЖ.</t>
  </si>
  <si>
    <t>0037Н</t>
  </si>
  <si>
    <t>ТОМСК 2</t>
  </si>
  <si>
    <t>0059Н</t>
  </si>
  <si>
    <t>0125Н</t>
  </si>
  <si>
    <t>0133Н</t>
  </si>
  <si>
    <t>0243Н</t>
  </si>
  <si>
    <t>0038Н,ТОМСК 2</t>
  </si>
  <si>
    <t>Новосибирск, Томск, Новокузнецк</t>
  </si>
  <si>
    <t>номер поезда</t>
  </si>
  <si>
    <t>Комментарий</t>
  </si>
  <si>
    <t>№ поезда</t>
  </si>
  <si>
    <t>0022Й, УЛЬЯНОВСК</t>
  </si>
  <si>
    <t>0010Й,САМАРА</t>
  </si>
  <si>
    <t>САМАРА</t>
  </si>
  <si>
    <t>0009Й</t>
  </si>
  <si>
    <t>ОРЕНБУРГ</t>
  </si>
  <si>
    <t>0380У</t>
  </si>
  <si>
    <t>0122У</t>
  </si>
  <si>
    <t>ЕКАТЕРИНБУРГ-ПАССАЖИРС</t>
  </si>
  <si>
    <t>Оренбург</t>
  </si>
  <si>
    <t>0014Й,ОРЕНБУРГ</t>
  </si>
  <si>
    <t>0117Н</t>
  </si>
  <si>
    <t>ИЖЕВСК</t>
  </si>
  <si>
    <t>0025Г</t>
  </si>
  <si>
    <t>Самара, Ижевск</t>
  </si>
  <si>
    <t>0052М</t>
  </si>
  <si>
    <t>0139Н</t>
  </si>
  <si>
    <t>БАРНАУЛ</t>
  </si>
  <si>
    <t>Барнаул</t>
  </si>
  <si>
    <t>0096Н,БАРНАУЛ</t>
  </si>
  <si>
    <t>0049Й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</si>
</sst>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" x14ac:knownFonts="1">
    <font>
      <sz val="11"/>
      <color theme="1"/>
      <name val="Calibri"/>
      <family val="2"/>
      <charset val="204"/>
      <scheme val="minor"/>
    </font>
    <font>
      <sz val="10"/>
      <color theme="1"/>
      <name val="Tahoma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2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9">
    <xf numFmtId="0" fontId="0" fillId="0" borderId="0" xfId="0"/>
    <xf numFmtId="16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vertical="center"/>
    </xf>
    <xf numFmtId="0" fontId="2" fillId="0" borderId="0" xfId="1"/>
    <xf numFmtId="0" fontId="4" fillId="0" borderId="0" xfId="1" applyFont="1"/>
    <xf numFmtId="0" fontId="3" fillId="2" borderId="0" xfId="0" applyNumberFormat="1" applyFont="1" applyFill="1" applyBorder="1" applyAlignment="1"/>
    <xf numFmtId="0" fontId="3" fillId="2" borderId="1" xfId="0" applyNumberFormat="1" applyFont="1" applyFill="1" applyBorder="1" applyAlignment="1"/>
    <xf numFmtId="0" fontId="0" fillId="0" borderId="0" xfId="0" applyBorder="1" applyAlignment="1">
      <alignment vertical="center"/>
    </xf>
    <xf numFmtId="16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14" fontId="0" fillId="0" borderId="0" xfId="0" applyNumberFormat="1" applyBorder="1"/>
    <xf numFmtId="0" fontId="0" fillId="0" borderId="0" xfId="0" applyBorder="1"/>
    <xf numFmtId="164" fontId="0" fillId="0" borderId="0" xfId="0" applyNumberFormat="1" applyBorder="1"/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vertical="center" indent="1"/>
    </xf>
    <xf numFmtId="0" fontId="0" fillId="0" borderId="0" xfId="0" applyBorder="1" applyAlignment="1">
      <alignment horizontal="left" indent="1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16" fontId="0" fillId="0" borderId="0" xfId="0" applyNumberFormat="1" applyAlignment="1">
      <alignment horizontal="left" vertical="center"/>
    </xf>
    <xf numFmtId="164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Fill="1"/>
    <xf numFmtId="1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 applyBorder="1"/>
    <xf numFmtId="1" fontId="0" fillId="0" borderId="0" xfId="0" applyNumberFormat="1" applyBorder="1" applyAlignment="1">
      <alignment horizontal="center"/>
    </xf>
  </cellXfs>
  <cellStyles count="3">
    <cellStyle name="Обычный" xfId="0" builtinId="0"/>
    <cellStyle name="Обычный 2" xfId="2"/>
    <cellStyle name="Обычный_МЖД № 26   27.06-03.07.09" xfId="1"/>
  </cellStyles>
  <dxfs count="182"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sz val="10"/>
        <name val="Tahoma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59996337778862885"/>
        </left>
        <right/>
        <top style="thin">
          <color theme="4" tint="0.59996337778862885"/>
        </top>
        <bottom style="thin">
          <color theme="4" tint="0.59996337778862885"/>
        </bottom>
      </border>
    </dxf>
    <dxf>
      <numFmt numFmtId="164" formatCode="[$-F800]dddd\,\ mmmm\ dd\,\ 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4" tint="0.59996337778862885"/>
        </left>
        <right/>
        <top style="thin">
          <color theme="4" tint="0.59996337778862885"/>
        </top>
        <bottom style="thin">
          <color theme="4" tint="0.59996337778862885"/>
        </bottom>
      </border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</border>
    </dxf>
    <dxf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</border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general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C00000"/>
      </font>
      <fill>
        <patternFill>
          <bgColor rgb="FFF2FC6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ont>
        <color rgb="FFC00000"/>
      </font>
      <fill>
        <patternFill>
          <bgColor rgb="FFF2FC6C"/>
        </patternFill>
      </fill>
    </dxf>
    <dxf>
      <fill>
        <gradientFill>
          <stop position="0">
            <color theme="0"/>
          </stop>
          <stop position="1">
            <color theme="4" tint="0.80001220740379042"/>
          </stop>
        </gradientFill>
      </fill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ill>
        <gradientFill>
          <stop position="0">
            <color theme="0"/>
          </stop>
          <stop position="1">
            <color theme="7" tint="0.80001220740379042"/>
          </stop>
        </gradient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 style="thin">
          <color theme="7" tint="0.39994506668294322"/>
        </vertical>
        <horizontal style="thin">
          <color theme="7" tint="0.39994506668294322"/>
        </horizontal>
      </border>
    </dxf>
    <dxf>
      <font>
        <b/>
        <i val="0"/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СтильРегион" defaultPivotStyle="PivotStyleLight16">
    <tableStyle name="СтильРегион" pivot="0" count="3">
      <tableStyleElement type="headerRow" dxfId="181"/>
      <tableStyleElement type="firstColumnStripe" size="3" dxfId="180"/>
      <tableStyleElement type="secondColumnStripe" size="6" dxfId="17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14" name="TrainCheckList" displayName="TrainCheckList" ref="A2:C35" totalsRowShown="0" headerRowDxfId="171" dataDxfId="170">
  <autoFilter ref="A2:C35"/>
  <sortState ref="A3:C35">
    <sortCondition ref="A2:A35"/>
  </sortState>
  <tableColumns count="3">
    <tableColumn id="1" name="№ поезда" dataDxfId="169"/>
    <tableColumn id="2" name="ст. отправления" dataDxfId="168"/>
    <tableColumn id="3" name="сообщение" dataDxfId="16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Ростов" displayName="Ростов" ref="A3:I6" totalsRowShown="0" dataDxfId="165">
  <autoFilter ref="A3:I6"/>
  <tableColumns count="9">
    <tableColumn id="1" name="дата передачи" dataDxfId="164"/>
    <tableColumn id="2" name="дата получения" dataDxfId="163">
      <calculatedColumnFormula>Ростов[[#This Row],[дата передачи]]+1</calculatedColumnFormula>
    </tableColumn>
    <tableColumn id="3" name="поезд перевозчик" dataDxfId="162"/>
    <tableColumn id="4" name="№ поезда" dataDxfId="161"/>
    <tableColumn id="9" name="ст. отправления" dataDxfId="160"/>
    <tableColumn id="5" name="сообщение" dataDxfId="159"/>
    <tableColumn id="6" name="дата отправления" dataDxfId="158"/>
    <tableColumn id="8" name="комплект 3" dataDxfId="157"/>
    <tableColumn id="7" name="комплект 2" dataDxfId="156"/>
  </tableColumns>
  <tableStyleInfo name="СтильРегион" showFirstColumn="0" showLastColumn="0" showRowStripes="1" showColumnStripes="1"/>
</table>
</file>

<file path=xl/tables/table3.xml><?xml version="1.0" encoding="utf-8"?>
<table xmlns="http://schemas.openxmlformats.org/spreadsheetml/2006/main" id="2" name="Адлер" displayName="Адлер" ref="A3:I5" totalsRowShown="0" dataDxfId="154">
  <autoFilter ref="A3:I5"/>
  <tableColumns count="9">
    <tableColumn id="1" name="дата передачи" dataDxfId="153"/>
    <tableColumn id="2" name="дата получения" dataDxfId="152">
      <calculatedColumnFormula>Адлер[[#This Row],[дата передачи]]+1</calculatedColumnFormula>
    </tableColumn>
    <tableColumn id="3" name="поезд перевозчик" dataDxfId="151"/>
    <tableColumn id="4" name="№ поезда" dataDxfId="150"/>
    <tableColumn id="9" name="ст. отправления" dataDxfId="149"/>
    <tableColumn id="5" name="сообщение" dataDxfId="148"/>
    <tableColumn id="6" name="дата отправления" dataDxfId="147"/>
    <tableColumn id="8" name="комплект 3" dataDxfId="146"/>
    <tableColumn id="7" name="комплект 2" dataDxfId="145"/>
  </tableColumns>
  <tableStyleInfo name="СтильРегион" showFirstColumn="0" showLastColumn="0" showRowStripes="0" showColumnStripes="1"/>
</table>
</file>

<file path=xl/tables/table4.xml><?xml version="1.0" encoding="utf-8"?>
<table xmlns="http://schemas.openxmlformats.org/spreadsheetml/2006/main" id="3" name="Калининград" displayName="Калининград" ref="A3:I6" totalsRowShown="0" dataDxfId="143">
  <autoFilter ref="A3:I6"/>
  <tableColumns count="9">
    <tableColumn id="1" name="дата передачи" dataDxfId="142"/>
    <tableColumn id="2" name="дата получения" dataDxfId="141">
      <calculatedColumnFormula>Калининград[[#This Row],[дата передачи]]+1</calculatedColumnFormula>
    </tableColumn>
    <tableColumn id="3" name="поезд перевозчик" dataDxfId="140"/>
    <tableColumn id="4" name="№ поезда" dataDxfId="139"/>
    <tableColumn id="9" name="ст. отправления" dataDxfId="138"/>
    <tableColumn id="5" name="сообщение" dataDxfId="137"/>
    <tableColumn id="6" name="дата отправления" dataDxfId="136"/>
    <tableColumn id="8" name="комплект 3" dataDxfId="135"/>
    <tableColumn id="7" name="комплект 2" dataDxfId="134"/>
  </tableColumns>
  <tableStyleInfo name="СтильРегион" showFirstColumn="0" showLastColumn="0" showRowStripes="1" showColumnStripes="1"/>
</table>
</file>

<file path=xl/tables/table5.xml><?xml version="1.0" encoding="utf-8"?>
<table xmlns="http://schemas.openxmlformats.org/spreadsheetml/2006/main" id="4" name="Владивосток" displayName="Владивосток" ref="A3:I5" totalsRowShown="0" dataDxfId="132">
  <autoFilter ref="A3:I5"/>
  <tableColumns count="9">
    <tableColumn id="1" name="дата передачи" dataDxfId="131"/>
    <tableColumn id="2" name="дата получения" dataDxfId="130">
      <calculatedColumnFormula>Владивосток[[#This Row],[дата передачи]]+6</calculatedColumnFormula>
    </tableColumn>
    <tableColumn id="3" name="поезд перевозчик" dataDxfId="129"/>
    <tableColumn id="4" name="№ поезда" dataDxfId="128"/>
    <tableColumn id="9" name="ст. отправления" dataDxfId="127"/>
    <tableColumn id="5" name="сообщение" dataDxfId="126"/>
    <tableColumn id="6" name="дата отправления" dataDxfId="125"/>
    <tableColumn id="8" name="комплект 3" dataDxfId="124"/>
    <tableColumn id="7" name="комплект 2" dataDxfId="123"/>
  </tableColumns>
  <tableStyleInfo name="СтильРегион" showFirstColumn="0" showLastColumn="0" showRowStripes="1" showColumnStripes="1"/>
</table>
</file>

<file path=xl/tables/table6.xml><?xml version="1.0" encoding="utf-8"?>
<table xmlns="http://schemas.openxmlformats.org/spreadsheetml/2006/main" id="5" name="Чита" displayName="Чита" ref="A3:I5" totalsRowShown="0" dataDxfId="121">
  <autoFilter ref="A3:I5"/>
  <sortState ref="A4:I304">
    <sortCondition ref="G3:G304"/>
  </sortState>
  <tableColumns count="9">
    <tableColumn id="1" name="дата передачи" dataDxfId="120"/>
    <tableColumn id="2" name="дата получения" dataDxfId="119">
      <calculatedColumnFormula>Чита[[#This Row],[дата передачи]]+5</calculatedColumnFormula>
    </tableColumn>
    <tableColumn id="3" name="поезд перевозчик" dataDxfId="118"/>
    <tableColumn id="4" name="№ поезда" dataDxfId="117"/>
    <tableColumn id="9" name="ст. отправления" dataDxfId="116"/>
    <tableColumn id="5" name="сообщение" dataDxfId="115"/>
    <tableColumn id="6" name="дата отправления" dataDxfId="114"/>
    <tableColumn id="8" name="комплект 3" dataDxfId="113"/>
    <tableColumn id="7" name="комплект 2" dataDxfId="112"/>
  </tableColumns>
  <tableStyleInfo name="СтильРегион" showFirstColumn="0" showLastColumn="0" showRowStripes="0" showColumnStripes="1"/>
</table>
</file>

<file path=xl/tables/table7.xml><?xml version="1.0" encoding="utf-8"?>
<table xmlns="http://schemas.openxmlformats.org/spreadsheetml/2006/main" id="6" name="Красноярск" displayName="Красноярск" ref="A3:I6" totalsRowShown="0" dataDxfId="110">
  <autoFilter ref="A3:I6"/>
  <sortState ref="A4:I494">
    <sortCondition ref="A3:A494"/>
  </sortState>
  <tableColumns count="9">
    <tableColumn id="1" name="дата передачи" dataDxfId="109"/>
    <tableColumn id="2" name="дата получения" dataDxfId="108">
      <calculatedColumnFormula>Красноярск[[#This Row],[дата передачи]]+3</calculatedColumnFormula>
    </tableColumn>
    <tableColumn id="3" name="поезд перевозчик" dataDxfId="107"/>
    <tableColumn id="4" name="№ поезда" dataDxfId="106"/>
    <tableColumn id="9" name="ст. отправления" dataDxfId="105"/>
    <tableColumn id="5" name="сообщение" dataDxfId="104"/>
    <tableColumn id="6" name="дата отправления" dataDxfId="103"/>
    <tableColumn id="8" name="комплект 3" dataDxfId="102"/>
    <tableColumn id="7" name="комплект 2" dataDxfId="101"/>
  </tableColumns>
  <tableStyleInfo name="СтильРегион" showFirstColumn="0" showLastColumn="0" showRowStripes="0" showColumnStripes="1"/>
</table>
</file>

<file path=xl/tables/table8.xml><?xml version="1.0" encoding="utf-8"?>
<table xmlns="http://schemas.openxmlformats.org/spreadsheetml/2006/main" id="8" name="Абакан" displayName="Абакан" ref="A3:I6" totalsRowShown="0" dataDxfId="99">
  <autoFilter ref="A3:I6"/>
  <sortState ref="A4:I423">
    <sortCondition ref="E3:E423"/>
  </sortState>
  <tableColumns count="9">
    <tableColumn id="1" name="дата передачи" dataDxfId="98"/>
    <tableColumn id="2" name="дата получения" dataDxfId="97">
      <calculatedColumnFormula>Абакан[[#This Row],[дата передачи]]+4</calculatedColumnFormula>
    </tableColumn>
    <tableColumn id="3" name="поезд перевозчик" dataDxfId="96"/>
    <tableColumn id="4" name="№ поезда" dataDxfId="95"/>
    <tableColumn id="9" name="ст. отправления" dataDxfId="94"/>
    <tableColumn id="5" name="сообщение" dataDxfId="93"/>
    <tableColumn id="6" name="дата отправления" dataDxfId="92"/>
    <tableColumn id="8" name="комплект 3" dataDxfId="91"/>
    <tableColumn id="7" name="комплект 2" dataDxfId="90"/>
  </tableColumns>
  <tableStyleInfo name="СтильРегион" showFirstColumn="0" showLastColumn="0" showRowStripes="1" showColumnStripes="1"/>
</table>
</file>

<file path=xl/tables/table9.xml><?xml version="1.0" encoding="utf-8"?>
<table xmlns="http://schemas.openxmlformats.org/spreadsheetml/2006/main" id="9" name="Ульяновск" displayName="Ульяновск" ref="A3:I6" totalsRowShown="0" dataDxfId="88">
  <autoFilter ref="A3:I6"/>
  <sortState ref="A4:I237">
    <sortCondition ref="A3:A237"/>
  </sortState>
  <tableColumns count="9">
    <tableColumn id="1" name="дата передачи" dataDxfId="87"/>
    <tableColumn id="2" name="дата получения" dataDxfId="86"/>
    <tableColumn id="3" name="поезд перевозчик" dataDxfId="85"/>
    <tableColumn id="4" name="№ поезда" dataDxfId="84"/>
    <tableColumn id="9" name="ст. отправления" dataDxfId="83"/>
    <tableColumn id="5" name="сообщение" dataDxfId="82"/>
    <tableColumn id="6" name="дата отправления" dataDxfId="81"/>
    <tableColumn id="8" name="комплект 3" dataDxfId="80"/>
    <tableColumn id="7" name="комплект 2" dataDxfId="79"/>
  </tableColumns>
  <tableStyleInfo name="СтильРегион" showFirstColumn="0" showLastColumn="0" showRowStripes="1" showColumnStripes="1"/>
</table>
</file>

<file path=xl/tables/table10.xml><?xml version="1.0" encoding="utf-8"?>
<table xmlns="http://schemas.openxmlformats.org/spreadsheetml/2006/main" id="10" name="Уфа" displayName="Уфа" ref="A3:I6" totalsRowShown="0" dataDxfId="77">
  <autoFilter ref="A3:I6"/>
  <sortState ref="A4:I778">
    <sortCondition ref="G3:G778"/>
  </sortState>
  <tableColumns count="9">
    <tableColumn id="1" name="дата передачи" dataDxfId="76"/>
    <tableColumn id="2" name="дата получения" dataDxfId="75"/>
    <tableColumn id="3" name="поезд перевозчик" dataDxfId="74"/>
    <tableColumn id="4" name="№ поезда" dataDxfId="73"/>
    <tableColumn id="9" name="ст. отправления" dataDxfId="72"/>
    <tableColumn id="5" name="сообщение" dataDxfId="71"/>
    <tableColumn id="6" name="дата отправления" dataDxfId="70"/>
    <tableColumn id="8" name="комплект 3" dataDxfId="69"/>
    <tableColumn id="7" name="комплект 2" dataDxfId="68"/>
  </tableColumns>
  <tableStyleInfo name="СтильРегион" showFirstColumn="0" showLastColumn="0" showRowStripes="1" showColumnStripes="1"/>
</table>
</file>

<file path=xl/tables/table11.xml><?xml version="1.0" encoding="utf-8"?>
<table xmlns="http://schemas.openxmlformats.org/spreadsheetml/2006/main" id="11" name="Пенза" displayName="Пенза" ref="A3:I5" totalsRowShown="0" dataDxfId="66">
  <autoFilter ref="A3:I5"/>
  <sortState ref="A4:I412">
    <sortCondition ref="A3:A412"/>
  </sortState>
  <tableColumns count="9">
    <tableColumn id="1" name="дата передачи" dataDxfId="65"/>
    <tableColumn id="2" name="дата получения" dataDxfId="64"/>
    <tableColumn id="3" name="поезд перевозчик" dataDxfId="63"/>
    <tableColumn id="4" name="№ поезда" dataDxfId="62"/>
    <tableColumn id="9" name="ст. отправления" dataDxfId="61"/>
    <tableColumn id="5" name="сообщение" dataDxfId="60"/>
    <tableColumn id="6" name="дата отправления" dataDxfId="59"/>
    <tableColumn id="8" name="комплект 3" dataDxfId="58"/>
    <tableColumn id="7" name="комплект 2" dataDxfId="57"/>
  </tableColumns>
  <tableStyleInfo name="СтильРегион" showFirstColumn="0" showLastColumn="0" showRowStripes="1" showColumnStripes="1"/>
</table>
</file>

<file path=xl/tables/table12.xml><?xml version="1.0" encoding="utf-8"?>
<table xmlns="http://schemas.openxmlformats.org/spreadsheetml/2006/main" id="7" name="Самара" displayName="Самара" ref="A3:I5" totalsRowShown="0" dataDxfId="55">
  <autoFilter ref="A3:I5"/>
  <tableColumns count="9">
    <tableColumn id="1" name="дата передачи" dataDxfId="54"/>
    <tableColumn id="2" name="дата получения" dataDxfId="53">
      <calculatedColumnFormula>Самара[[#This Row],[дата передачи]]+1</calculatedColumnFormula>
    </tableColumn>
    <tableColumn id="3" name="поезд перевозчик" dataDxfId="52"/>
    <tableColumn id="4" name="№ поезда" dataDxfId="51"/>
    <tableColumn id="9" name="ст. отправления" dataDxfId="50"/>
    <tableColumn id="5" name="сообщение" dataDxfId="49"/>
    <tableColumn id="6" name="дата отправления" dataDxfId="48"/>
    <tableColumn id="7" name="комплект 2" dataDxfId="47"/>
    <tableColumn id="8" name="комплект 3" dataDxfId="46"/>
  </tableColumns>
  <tableStyleInfo name="СтильРегион" showFirstColumn="0" showLastColumn="0" showRowStripes="1" showColumnStripes="1"/>
</table>
</file>

<file path=xl/tables/table13.xml><?xml version="1.0" encoding="utf-8"?>
<table xmlns="http://schemas.openxmlformats.org/spreadsheetml/2006/main" id="13" name="Уфа_14" displayName="Уфа_14" ref="A3:I6" totalsRowShown="0" dataDxfId="44">
  <autoFilter ref="A3:I6"/>
  <sortState ref="A4:I134">
    <sortCondition ref="G3:G134"/>
  </sortState>
  <tableColumns count="9">
    <tableColumn id="1" name="дата передачи" dataDxfId="43"/>
    <tableColumn id="2" name="дата получения" dataDxfId="42">
      <calculatedColumnFormula>Уфа_14[[#This Row],[дата передачи]]+1</calculatedColumnFormula>
    </tableColumn>
    <tableColumn id="3" name="поезд перевозчик" dataDxfId="41"/>
    <tableColumn id="4" name="№ поезда" dataDxfId="40"/>
    <tableColumn id="9" name="ст. отправления" dataDxfId="39"/>
    <tableColumn id="5" name="сообщение" dataDxfId="38"/>
    <tableColumn id="6" name="дата отправления" dataDxfId="37"/>
    <tableColumn id="7" name="комплект 2" dataDxfId="36"/>
    <tableColumn id="8" name="комплект 3" dataDxfId="35"/>
  </tableColumns>
  <tableStyleInfo name="СтильРегион" showFirstColumn="0" showLastColumn="0" showRowStripes="1" showColumnStripes="1"/>
</table>
</file>

<file path=xl/tables/table14.xml><?xml version="1.0" encoding="utf-8"?>
<table xmlns="http://schemas.openxmlformats.org/spreadsheetml/2006/main" id="12" name="Пенза13" displayName="Пенза13" ref="A3:I5" totalsRowShown="0" dataDxfId="33">
  <autoFilter ref="A3:I5"/>
  <sortState ref="A4:I602">
    <sortCondition ref="A3:A602"/>
  </sortState>
  <tableColumns count="9">
    <tableColumn id="1" name="дата передачи" dataDxfId="32"/>
    <tableColumn id="2" name="дата получения" dataDxfId="31">
      <calculatedColumnFormula>Пенза13[[#This Row],[дата передачи]]+3</calculatedColumnFormula>
    </tableColumn>
    <tableColumn id="3" name="поезд перевозчик" dataDxfId="30"/>
    <tableColumn id="4" name="№ поезда" dataDxfId="29"/>
    <tableColumn id="9" name="ст. отправления" dataDxfId="28"/>
    <tableColumn id="5" name="сообщение" dataDxfId="27"/>
    <tableColumn id="6" name="дата отправления" dataDxfId="26"/>
    <tableColumn id="8" name="комплект 3" dataDxfId="25"/>
    <tableColumn id="7" name="комплект 2" dataDxfId="24"/>
  </tableColumns>
  <tableStyleInfo name="СтильРегион" showFirstColumn="0" showLastColumn="0" showRowStripes="1" showColumnStripes="1"/>
</table>
</file>

<file path=xl/tables/table15.xml><?xml version="1.0" encoding="utf-8"?>
<table xmlns="http://schemas.openxmlformats.org/spreadsheetml/2006/main" id="15" name="Барнаул" displayName="Барнаул" ref="A3:I5" totalsRowShown="0">
  <autoFilter ref="A3:I5"/>
  <sortState ref="A4:I274">
    <sortCondition ref="G3:G274"/>
  </sortState>
  <tableColumns count="9">
    <tableColumn id="1" name="дата передачи" dataDxfId="22"/>
    <tableColumn id="2" name="дата получения" dataDxfId="21">
      <calculatedColumnFormula>Барнаул[[#This Row],[дата передачи]]+3</calculatedColumnFormula>
    </tableColumn>
    <tableColumn id="3" name="поезд перевозчик" dataDxfId="20"/>
    <tableColumn id="4" name="№ поезда" dataDxfId="19"/>
    <tableColumn id="9" name="ст. отправления" dataDxfId="18"/>
    <tableColumn id="5" name="сообщение" dataDxfId="17"/>
    <tableColumn id="6" name="дата отправления" dataDxfId="16"/>
    <tableColumn id="8" name="комплект 3" dataDxfId="15"/>
    <tableColumn id="7" name="комплект 2" dataDxfId="14"/>
  </tableColumns>
  <tableStyleInfo name="СтильРегион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F3"/>
  <sheetViews>
    <sheetView workbookViewId="0">
      <selection activeCell="C12" sqref="C12"/>
    </sheetView>
  </sheetViews>
  <sheetFormatPr defaultRowHeight="12.75" x14ac:dyDescent="0.2"/>
  <cols>
    <col min="1" max="6" width="18" style="10" customWidth="1"/>
    <col min="7" max="256" width="9.140625" style="10"/>
    <col min="257" max="257" width="20.28515625" style="10" customWidth="1"/>
    <col min="258" max="258" width="29.42578125" style="10" bestFit="1" customWidth="1"/>
    <col min="259" max="259" width="34.140625" style="10" bestFit="1" customWidth="1"/>
    <col min="260" max="261" width="16" style="10" customWidth="1"/>
    <col min="262" max="262" width="48.140625" style="10" bestFit="1" customWidth="1"/>
    <col min="263" max="512" width="9.140625" style="10"/>
    <col min="513" max="513" width="20.28515625" style="10" customWidth="1"/>
    <col min="514" max="514" width="29.42578125" style="10" bestFit="1" customWidth="1"/>
    <col min="515" max="515" width="34.140625" style="10" bestFit="1" customWidth="1"/>
    <col min="516" max="517" width="16" style="10" customWidth="1"/>
    <col min="518" max="518" width="48.140625" style="10" bestFit="1" customWidth="1"/>
    <col min="519" max="768" width="9.140625" style="10"/>
    <col min="769" max="769" width="20.28515625" style="10" customWidth="1"/>
    <col min="770" max="770" width="29.42578125" style="10" bestFit="1" customWidth="1"/>
    <col min="771" max="771" width="34.140625" style="10" bestFit="1" customWidth="1"/>
    <col min="772" max="773" width="16" style="10" customWidth="1"/>
    <col min="774" max="774" width="48.140625" style="10" bestFit="1" customWidth="1"/>
    <col min="775" max="1024" width="9.140625" style="10"/>
    <col min="1025" max="1025" width="20.28515625" style="10" customWidth="1"/>
    <col min="1026" max="1026" width="29.42578125" style="10" bestFit="1" customWidth="1"/>
    <col min="1027" max="1027" width="34.140625" style="10" bestFit="1" customWidth="1"/>
    <col min="1028" max="1029" width="16" style="10" customWidth="1"/>
    <col min="1030" max="1030" width="48.140625" style="10" bestFit="1" customWidth="1"/>
    <col min="1031" max="1280" width="9.140625" style="10"/>
    <col min="1281" max="1281" width="20.28515625" style="10" customWidth="1"/>
    <col min="1282" max="1282" width="29.42578125" style="10" bestFit="1" customWidth="1"/>
    <col min="1283" max="1283" width="34.140625" style="10" bestFit="1" customWidth="1"/>
    <col min="1284" max="1285" width="16" style="10" customWidth="1"/>
    <col min="1286" max="1286" width="48.140625" style="10" bestFit="1" customWidth="1"/>
    <col min="1287" max="1536" width="9.140625" style="10"/>
    <col min="1537" max="1537" width="20.28515625" style="10" customWidth="1"/>
    <col min="1538" max="1538" width="29.42578125" style="10" bestFit="1" customWidth="1"/>
    <col min="1539" max="1539" width="34.140625" style="10" bestFit="1" customWidth="1"/>
    <col min="1540" max="1541" width="16" style="10" customWidth="1"/>
    <col min="1542" max="1542" width="48.140625" style="10" bestFit="1" customWidth="1"/>
    <col min="1543" max="1792" width="9.140625" style="10"/>
    <col min="1793" max="1793" width="20.28515625" style="10" customWidth="1"/>
    <col min="1794" max="1794" width="29.42578125" style="10" bestFit="1" customWidth="1"/>
    <col min="1795" max="1795" width="34.140625" style="10" bestFit="1" customWidth="1"/>
    <col min="1796" max="1797" width="16" style="10" customWidth="1"/>
    <col min="1798" max="1798" width="48.140625" style="10" bestFit="1" customWidth="1"/>
    <col min="1799" max="2048" width="9.140625" style="10"/>
    <col min="2049" max="2049" width="20.28515625" style="10" customWidth="1"/>
    <col min="2050" max="2050" width="29.42578125" style="10" bestFit="1" customWidth="1"/>
    <col min="2051" max="2051" width="34.140625" style="10" bestFit="1" customWidth="1"/>
    <col min="2052" max="2053" width="16" style="10" customWidth="1"/>
    <col min="2054" max="2054" width="48.140625" style="10" bestFit="1" customWidth="1"/>
    <col min="2055" max="2304" width="9.140625" style="10"/>
    <col min="2305" max="2305" width="20.28515625" style="10" customWidth="1"/>
    <col min="2306" max="2306" width="29.42578125" style="10" bestFit="1" customWidth="1"/>
    <col min="2307" max="2307" width="34.140625" style="10" bestFit="1" customWidth="1"/>
    <col min="2308" max="2309" width="16" style="10" customWidth="1"/>
    <col min="2310" max="2310" width="48.140625" style="10" bestFit="1" customWidth="1"/>
    <col min="2311" max="2560" width="9.140625" style="10"/>
    <col min="2561" max="2561" width="20.28515625" style="10" customWidth="1"/>
    <col min="2562" max="2562" width="29.42578125" style="10" bestFit="1" customWidth="1"/>
    <col min="2563" max="2563" width="34.140625" style="10" bestFit="1" customWidth="1"/>
    <col min="2564" max="2565" width="16" style="10" customWidth="1"/>
    <col min="2566" max="2566" width="48.140625" style="10" bestFit="1" customWidth="1"/>
    <col min="2567" max="2816" width="9.140625" style="10"/>
    <col min="2817" max="2817" width="20.28515625" style="10" customWidth="1"/>
    <col min="2818" max="2818" width="29.42578125" style="10" bestFit="1" customWidth="1"/>
    <col min="2819" max="2819" width="34.140625" style="10" bestFit="1" customWidth="1"/>
    <col min="2820" max="2821" width="16" style="10" customWidth="1"/>
    <col min="2822" max="2822" width="48.140625" style="10" bestFit="1" customWidth="1"/>
    <col min="2823" max="3072" width="9.140625" style="10"/>
    <col min="3073" max="3073" width="20.28515625" style="10" customWidth="1"/>
    <col min="3074" max="3074" width="29.42578125" style="10" bestFit="1" customWidth="1"/>
    <col min="3075" max="3075" width="34.140625" style="10" bestFit="1" customWidth="1"/>
    <col min="3076" max="3077" width="16" style="10" customWidth="1"/>
    <col min="3078" max="3078" width="48.140625" style="10" bestFit="1" customWidth="1"/>
    <col min="3079" max="3328" width="9.140625" style="10"/>
    <col min="3329" max="3329" width="20.28515625" style="10" customWidth="1"/>
    <col min="3330" max="3330" width="29.42578125" style="10" bestFit="1" customWidth="1"/>
    <col min="3331" max="3331" width="34.140625" style="10" bestFit="1" customWidth="1"/>
    <col min="3332" max="3333" width="16" style="10" customWidth="1"/>
    <col min="3334" max="3334" width="48.140625" style="10" bestFit="1" customWidth="1"/>
    <col min="3335" max="3584" width="9.140625" style="10"/>
    <col min="3585" max="3585" width="20.28515625" style="10" customWidth="1"/>
    <col min="3586" max="3586" width="29.42578125" style="10" bestFit="1" customWidth="1"/>
    <col min="3587" max="3587" width="34.140625" style="10" bestFit="1" customWidth="1"/>
    <col min="3588" max="3589" width="16" style="10" customWidth="1"/>
    <col min="3590" max="3590" width="48.140625" style="10" bestFit="1" customWidth="1"/>
    <col min="3591" max="3840" width="9.140625" style="10"/>
    <col min="3841" max="3841" width="20.28515625" style="10" customWidth="1"/>
    <col min="3842" max="3842" width="29.42578125" style="10" bestFit="1" customWidth="1"/>
    <col min="3843" max="3843" width="34.140625" style="10" bestFit="1" customWidth="1"/>
    <col min="3844" max="3845" width="16" style="10" customWidth="1"/>
    <col min="3846" max="3846" width="48.140625" style="10" bestFit="1" customWidth="1"/>
    <col min="3847" max="4096" width="9.140625" style="10"/>
    <col min="4097" max="4097" width="20.28515625" style="10" customWidth="1"/>
    <col min="4098" max="4098" width="29.42578125" style="10" bestFit="1" customWidth="1"/>
    <col min="4099" max="4099" width="34.140625" style="10" bestFit="1" customWidth="1"/>
    <col min="4100" max="4101" width="16" style="10" customWidth="1"/>
    <col min="4102" max="4102" width="48.140625" style="10" bestFit="1" customWidth="1"/>
    <col min="4103" max="4352" width="9.140625" style="10"/>
    <col min="4353" max="4353" width="20.28515625" style="10" customWidth="1"/>
    <col min="4354" max="4354" width="29.42578125" style="10" bestFit="1" customWidth="1"/>
    <col min="4355" max="4355" width="34.140625" style="10" bestFit="1" customWidth="1"/>
    <col min="4356" max="4357" width="16" style="10" customWidth="1"/>
    <col min="4358" max="4358" width="48.140625" style="10" bestFit="1" customWidth="1"/>
    <col min="4359" max="4608" width="9.140625" style="10"/>
    <col min="4609" max="4609" width="20.28515625" style="10" customWidth="1"/>
    <col min="4610" max="4610" width="29.42578125" style="10" bestFit="1" customWidth="1"/>
    <col min="4611" max="4611" width="34.140625" style="10" bestFit="1" customWidth="1"/>
    <col min="4612" max="4613" width="16" style="10" customWidth="1"/>
    <col min="4614" max="4614" width="48.140625" style="10" bestFit="1" customWidth="1"/>
    <col min="4615" max="4864" width="9.140625" style="10"/>
    <col min="4865" max="4865" width="20.28515625" style="10" customWidth="1"/>
    <col min="4866" max="4866" width="29.42578125" style="10" bestFit="1" customWidth="1"/>
    <col min="4867" max="4867" width="34.140625" style="10" bestFit="1" customWidth="1"/>
    <col min="4868" max="4869" width="16" style="10" customWidth="1"/>
    <col min="4870" max="4870" width="48.140625" style="10" bestFit="1" customWidth="1"/>
    <col min="4871" max="5120" width="9.140625" style="10"/>
    <col min="5121" max="5121" width="20.28515625" style="10" customWidth="1"/>
    <col min="5122" max="5122" width="29.42578125" style="10" bestFit="1" customWidth="1"/>
    <col min="5123" max="5123" width="34.140625" style="10" bestFit="1" customWidth="1"/>
    <col min="5124" max="5125" width="16" style="10" customWidth="1"/>
    <col min="5126" max="5126" width="48.140625" style="10" bestFit="1" customWidth="1"/>
    <col min="5127" max="5376" width="9.140625" style="10"/>
    <col min="5377" max="5377" width="20.28515625" style="10" customWidth="1"/>
    <col min="5378" max="5378" width="29.42578125" style="10" bestFit="1" customWidth="1"/>
    <col min="5379" max="5379" width="34.140625" style="10" bestFit="1" customWidth="1"/>
    <col min="5380" max="5381" width="16" style="10" customWidth="1"/>
    <col min="5382" max="5382" width="48.140625" style="10" bestFit="1" customWidth="1"/>
    <col min="5383" max="5632" width="9.140625" style="10"/>
    <col min="5633" max="5633" width="20.28515625" style="10" customWidth="1"/>
    <col min="5634" max="5634" width="29.42578125" style="10" bestFit="1" customWidth="1"/>
    <col min="5635" max="5635" width="34.140625" style="10" bestFit="1" customWidth="1"/>
    <col min="5636" max="5637" width="16" style="10" customWidth="1"/>
    <col min="5638" max="5638" width="48.140625" style="10" bestFit="1" customWidth="1"/>
    <col min="5639" max="5888" width="9.140625" style="10"/>
    <col min="5889" max="5889" width="20.28515625" style="10" customWidth="1"/>
    <col min="5890" max="5890" width="29.42578125" style="10" bestFit="1" customWidth="1"/>
    <col min="5891" max="5891" width="34.140625" style="10" bestFit="1" customWidth="1"/>
    <col min="5892" max="5893" width="16" style="10" customWidth="1"/>
    <col min="5894" max="5894" width="48.140625" style="10" bestFit="1" customWidth="1"/>
    <col min="5895" max="6144" width="9.140625" style="10"/>
    <col min="6145" max="6145" width="20.28515625" style="10" customWidth="1"/>
    <col min="6146" max="6146" width="29.42578125" style="10" bestFit="1" customWidth="1"/>
    <col min="6147" max="6147" width="34.140625" style="10" bestFit="1" customWidth="1"/>
    <col min="6148" max="6149" width="16" style="10" customWidth="1"/>
    <col min="6150" max="6150" width="48.140625" style="10" bestFit="1" customWidth="1"/>
    <col min="6151" max="6400" width="9.140625" style="10"/>
    <col min="6401" max="6401" width="20.28515625" style="10" customWidth="1"/>
    <col min="6402" max="6402" width="29.42578125" style="10" bestFit="1" customWidth="1"/>
    <col min="6403" max="6403" width="34.140625" style="10" bestFit="1" customWidth="1"/>
    <col min="6404" max="6405" width="16" style="10" customWidth="1"/>
    <col min="6406" max="6406" width="48.140625" style="10" bestFit="1" customWidth="1"/>
    <col min="6407" max="6656" width="9.140625" style="10"/>
    <col min="6657" max="6657" width="20.28515625" style="10" customWidth="1"/>
    <col min="6658" max="6658" width="29.42578125" style="10" bestFit="1" customWidth="1"/>
    <col min="6659" max="6659" width="34.140625" style="10" bestFit="1" customWidth="1"/>
    <col min="6660" max="6661" width="16" style="10" customWidth="1"/>
    <col min="6662" max="6662" width="48.140625" style="10" bestFit="1" customWidth="1"/>
    <col min="6663" max="6912" width="9.140625" style="10"/>
    <col min="6913" max="6913" width="20.28515625" style="10" customWidth="1"/>
    <col min="6914" max="6914" width="29.42578125" style="10" bestFit="1" customWidth="1"/>
    <col min="6915" max="6915" width="34.140625" style="10" bestFit="1" customWidth="1"/>
    <col min="6916" max="6917" width="16" style="10" customWidth="1"/>
    <col min="6918" max="6918" width="48.140625" style="10" bestFit="1" customWidth="1"/>
    <col min="6919" max="7168" width="9.140625" style="10"/>
    <col min="7169" max="7169" width="20.28515625" style="10" customWidth="1"/>
    <col min="7170" max="7170" width="29.42578125" style="10" bestFit="1" customWidth="1"/>
    <col min="7171" max="7171" width="34.140625" style="10" bestFit="1" customWidth="1"/>
    <col min="7172" max="7173" width="16" style="10" customWidth="1"/>
    <col min="7174" max="7174" width="48.140625" style="10" bestFit="1" customWidth="1"/>
    <col min="7175" max="7424" width="9.140625" style="10"/>
    <col min="7425" max="7425" width="20.28515625" style="10" customWidth="1"/>
    <col min="7426" max="7426" width="29.42578125" style="10" bestFit="1" customWidth="1"/>
    <col min="7427" max="7427" width="34.140625" style="10" bestFit="1" customWidth="1"/>
    <col min="7428" max="7429" width="16" style="10" customWidth="1"/>
    <col min="7430" max="7430" width="48.140625" style="10" bestFit="1" customWidth="1"/>
    <col min="7431" max="7680" width="9.140625" style="10"/>
    <col min="7681" max="7681" width="20.28515625" style="10" customWidth="1"/>
    <col min="7682" max="7682" width="29.42578125" style="10" bestFit="1" customWidth="1"/>
    <col min="7683" max="7683" width="34.140625" style="10" bestFit="1" customWidth="1"/>
    <col min="7684" max="7685" width="16" style="10" customWidth="1"/>
    <col min="7686" max="7686" width="48.140625" style="10" bestFit="1" customWidth="1"/>
    <col min="7687" max="7936" width="9.140625" style="10"/>
    <col min="7937" max="7937" width="20.28515625" style="10" customWidth="1"/>
    <col min="7938" max="7938" width="29.42578125" style="10" bestFit="1" customWidth="1"/>
    <col min="7939" max="7939" width="34.140625" style="10" bestFit="1" customWidth="1"/>
    <col min="7940" max="7941" width="16" style="10" customWidth="1"/>
    <col min="7942" max="7942" width="48.140625" style="10" bestFit="1" customWidth="1"/>
    <col min="7943" max="8192" width="9.140625" style="10"/>
    <col min="8193" max="8193" width="20.28515625" style="10" customWidth="1"/>
    <col min="8194" max="8194" width="29.42578125" style="10" bestFit="1" customWidth="1"/>
    <col min="8195" max="8195" width="34.140625" style="10" bestFit="1" customWidth="1"/>
    <col min="8196" max="8197" width="16" style="10" customWidth="1"/>
    <col min="8198" max="8198" width="48.140625" style="10" bestFit="1" customWidth="1"/>
    <col min="8199" max="8448" width="9.140625" style="10"/>
    <col min="8449" max="8449" width="20.28515625" style="10" customWidth="1"/>
    <col min="8450" max="8450" width="29.42578125" style="10" bestFit="1" customWidth="1"/>
    <col min="8451" max="8451" width="34.140625" style="10" bestFit="1" customWidth="1"/>
    <col min="8452" max="8453" width="16" style="10" customWidth="1"/>
    <col min="8454" max="8454" width="48.140625" style="10" bestFit="1" customWidth="1"/>
    <col min="8455" max="8704" width="9.140625" style="10"/>
    <col min="8705" max="8705" width="20.28515625" style="10" customWidth="1"/>
    <col min="8706" max="8706" width="29.42578125" style="10" bestFit="1" customWidth="1"/>
    <col min="8707" max="8707" width="34.140625" style="10" bestFit="1" customWidth="1"/>
    <col min="8708" max="8709" width="16" style="10" customWidth="1"/>
    <col min="8710" max="8710" width="48.140625" style="10" bestFit="1" customWidth="1"/>
    <col min="8711" max="8960" width="9.140625" style="10"/>
    <col min="8961" max="8961" width="20.28515625" style="10" customWidth="1"/>
    <col min="8962" max="8962" width="29.42578125" style="10" bestFit="1" customWidth="1"/>
    <col min="8963" max="8963" width="34.140625" style="10" bestFit="1" customWidth="1"/>
    <col min="8964" max="8965" width="16" style="10" customWidth="1"/>
    <col min="8966" max="8966" width="48.140625" style="10" bestFit="1" customWidth="1"/>
    <col min="8967" max="9216" width="9.140625" style="10"/>
    <col min="9217" max="9217" width="20.28515625" style="10" customWidth="1"/>
    <col min="9218" max="9218" width="29.42578125" style="10" bestFit="1" customWidth="1"/>
    <col min="9219" max="9219" width="34.140625" style="10" bestFit="1" customWidth="1"/>
    <col min="9220" max="9221" width="16" style="10" customWidth="1"/>
    <col min="9222" max="9222" width="48.140625" style="10" bestFit="1" customWidth="1"/>
    <col min="9223" max="9472" width="9.140625" style="10"/>
    <col min="9473" max="9473" width="20.28515625" style="10" customWidth="1"/>
    <col min="9474" max="9474" width="29.42578125" style="10" bestFit="1" customWidth="1"/>
    <col min="9475" max="9475" width="34.140625" style="10" bestFit="1" customWidth="1"/>
    <col min="9476" max="9477" width="16" style="10" customWidth="1"/>
    <col min="9478" max="9478" width="48.140625" style="10" bestFit="1" customWidth="1"/>
    <col min="9479" max="9728" width="9.140625" style="10"/>
    <col min="9729" max="9729" width="20.28515625" style="10" customWidth="1"/>
    <col min="9730" max="9730" width="29.42578125" style="10" bestFit="1" customWidth="1"/>
    <col min="9731" max="9731" width="34.140625" style="10" bestFit="1" customWidth="1"/>
    <col min="9732" max="9733" width="16" style="10" customWidth="1"/>
    <col min="9734" max="9734" width="48.140625" style="10" bestFit="1" customWidth="1"/>
    <col min="9735" max="9984" width="9.140625" style="10"/>
    <col min="9985" max="9985" width="20.28515625" style="10" customWidth="1"/>
    <col min="9986" max="9986" width="29.42578125" style="10" bestFit="1" customWidth="1"/>
    <col min="9987" max="9987" width="34.140625" style="10" bestFit="1" customWidth="1"/>
    <col min="9988" max="9989" width="16" style="10" customWidth="1"/>
    <col min="9990" max="9990" width="48.140625" style="10" bestFit="1" customWidth="1"/>
    <col min="9991" max="10240" width="9.140625" style="10"/>
    <col min="10241" max="10241" width="20.28515625" style="10" customWidth="1"/>
    <col min="10242" max="10242" width="29.42578125" style="10" bestFit="1" customWidth="1"/>
    <col min="10243" max="10243" width="34.140625" style="10" bestFit="1" customWidth="1"/>
    <col min="10244" max="10245" width="16" style="10" customWidth="1"/>
    <col min="10246" max="10246" width="48.140625" style="10" bestFit="1" customWidth="1"/>
    <col min="10247" max="10496" width="9.140625" style="10"/>
    <col min="10497" max="10497" width="20.28515625" style="10" customWidth="1"/>
    <col min="10498" max="10498" width="29.42578125" style="10" bestFit="1" customWidth="1"/>
    <col min="10499" max="10499" width="34.140625" style="10" bestFit="1" customWidth="1"/>
    <col min="10500" max="10501" width="16" style="10" customWidth="1"/>
    <col min="10502" max="10502" width="48.140625" style="10" bestFit="1" customWidth="1"/>
    <col min="10503" max="10752" width="9.140625" style="10"/>
    <col min="10753" max="10753" width="20.28515625" style="10" customWidth="1"/>
    <col min="10754" max="10754" width="29.42578125" style="10" bestFit="1" customWidth="1"/>
    <col min="10755" max="10755" width="34.140625" style="10" bestFit="1" customWidth="1"/>
    <col min="10756" max="10757" width="16" style="10" customWidth="1"/>
    <col min="10758" max="10758" width="48.140625" style="10" bestFit="1" customWidth="1"/>
    <col min="10759" max="11008" width="9.140625" style="10"/>
    <col min="11009" max="11009" width="20.28515625" style="10" customWidth="1"/>
    <col min="11010" max="11010" width="29.42578125" style="10" bestFit="1" customWidth="1"/>
    <col min="11011" max="11011" width="34.140625" style="10" bestFit="1" customWidth="1"/>
    <col min="11012" max="11013" width="16" style="10" customWidth="1"/>
    <col min="11014" max="11014" width="48.140625" style="10" bestFit="1" customWidth="1"/>
    <col min="11015" max="11264" width="9.140625" style="10"/>
    <col min="11265" max="11265" width="20.28515625" style="10" customWidth="1"/>
    <col min="11266" max="11266" width="29.42578125" style="10" bestFit="1" customWidth="1"/>
    <col min="11267" max="11267" width="34.140625" style="10" bestFit="1" customWidth="1"/>
    <col min="11268" max="11269" width="16" style="10" customWidth="1"/>
    <col min="11270" max="11270" width="48.140625" style="10" bestFit="1" customWidth="1"/>
    <col min="11271" max="11520" width="9.140625" style="10"/>
    <col min="11521" max="11521" width="20.28515625" style="10" customWidth="1"/>
    <col min="11522" max="11522" width="29.42578125" style="10" bestFit="1" customWidth="1"/>
    <col min="11523" max="11523" width="34.140625" style="10" bestFit="1" customWidth="1"/>
    <col min="11524" max="11525" width="16" style="10" customWidth="1"/>
    <col min="11526" max="11526" width="48.140625" style="10" bestFit="1" customWidth="1"/>
    <col min="11527" max="11776" width="9.140625" style="10"/>
    <col min="11777" max="11777" width="20.28515625" style="10" customWidth="1"/>
    <col min="11778" max="11778" width="29.42578125" style="10" bestFit="1" customWidth="1"/>
    <col min="11779" max="11779" width="34.140625" style="10" bestFit="1" customWidth="1"/>
    <col min="11780" max="11781" width="16" style="10" customWidth="1"/>
    <col min="11782" max="11782" width="48.140625" style="10" bestFit="1" customWidth="1"/>
    <col min="11783" max="12032" width="9.140625" style="10"/>
    <col min="12033" max="12033" width="20.28515625" style="10" customWidth="1"/>
    <col min="12034" max="12034" width="29.42578125" style="10" bestFit="1" customWidth="1"/>
    <col min="12035" max="12035" width="34.140625" style="10" bestFit="1" customWidth="1"/>
    <col min="12036" max="12037" width="16" style="10" customWidth="1"/>
    <col min="12038" max="12038" width="48.140625" style="10" bestFit="1" customWidth="1"/>
    <col min="12039" max="12288" width="9.140625" style="10"/>
    <col min="12289" max="12289" width="20.28515625" style="10" customWidth="1"/>
    <col min="12290" max="12290" width="29.42578125" style="10" bestFit="1" customWidth="1"/>
    <col min="12291" max="12291" width="34.140625" style="10" bestFit="1" customWidth="1"/>
    <col min="12292" max="12293" width="16" style="10" customWidth="1"/>
    <col min="12294" max="12294" width="48.140625" style="10" bestFit="1" customWidth="1"/>
    <col min="12295" max="12544" width="9.140625" style="10"/>
    <col min="12545" max="12545" width="20.28515625" style="10" customWidth="1"/>
    <col min="12546" max="12546" width="29.42578125" style="10" bestFit="1" customWidth="1"/>
    <col min="12547" max="12547" width="34.140625" style="10" bestFit="1" customWidth="1"/>
    <col min="12548" max="12549" width="16" style="10" customWidth="1"/>
    <col min="12550" max="12550" width="48.140625" style="10" bestFit="1" customWidth="1"/>
    <col min="12551" max="12800" width="9.140625" style="10"/>
    <col min="12801" max="12801" width="20.28515625" style="10" customWidth="1"/>
    <col min="12802" max="12802" width="29.42578125" style="10" bestFit="1" customWidth="1"/>
    <col min="12803" max="12803" width="34.140625" style="10" bestFit="1" customWidth="1"/>
    <col min="12804" max="12805" width="16" style="10" customWidth="1"/>
    <col min="12806" max="12806" width="48.140625" style="10" bestFit="1" customWidth="1"/>
    <col min="12807" max="13056" width="9.140625" style="10"/>
    <col min="13057" max="13057" width="20.28515625" style="10" customWidth="1"/>
    <col min="13058" max="13058" width="29.42578125" style="10" bestFit="1" customWidth="1"/>
    <col min="13059" max="13059" width="34.140625" style="10" bestFit="1" customWidth="1"/>
    <col min="13060" max="13061" width="16" style="10" customWidth="1"/>
    <col min="13062" max="13062" width="48.140625" style="10" bestFit="1" customWidth="1"/>
    <col min="13063" max="13312" width="9.140625" style="10"/>
    <col min="13313" max="13313" width="20.28515625" style="10" customWidth="1"/>
    <col min="13314" max="13314" width="29.42578125" style="10" bestFit="1" customWidth="1"/>
    <col min="13315" max="13315" width="34.140625" style="10" bestFit="1" customWidth="1"/>
    <col min="13316" max="13317" width="16" style="10" customWidth="1"/>
    <col min="13318" max="13318" width="48.140625" style="10" bestFit="1" customWidth="1"/>
    <col min="13319" max="13568" width="9.140625" style="10"/>
    <col min="13569" max="13569" width="20.28515625" style="10" customWidth="1"/>
    <col min="13570" max="13570" width="29.42578125" style="10" bestFit="1" customWidth="1"/>
    <col min="13571" max="13571" width="34.140625" style="10" bestFit="1" customWidth="1"/>
    <col min="13572" max="13573" width="16" style="10" customWidth="1"/>
    <col min="13574" max="13574" width="48.140625" style="10" bestFit="1" customWidth="1"/>
    <col min="13575" max="13824" width="9.140625" style="10"/>
    <col min="13825" max="13825" width="20.28515625" style="10" customWidth="1"/>
    <col min="13826" max="13826" width="29.42578125" style="10" bestFit="1" customWidth="1"/>
    <col min="13827" max="13827" width="34.140625" style="10" bestFit="1" customWidth="1"/>
    <col min="13828" max="13829" width="16" style="10" customWidth="1"/>
    <col min="13830" max="13830" width="48.140625" style="10" bestFit="1" customWidth="1"/>
    <col min="13831" max="14080" width="9.140625" style="10"/>
    <col min="14081" max="14081" width="20.28515625" style="10" customWidth="1"/>
    <col min="14082" max="14082" width="29.42578125" style="10" bestFit="1" customWidth="1"/>
    <col min="14083" max="14083" width="34.140625" style="10" bestFit="1" customWidth="1"/>
    <col min="14084" max="14085" width="16" style="10" customWidth="1"/>
    <col min="14086" max="14086" width="48.140625" style="10" bestFit="1" customWidth="1"/>
    <col min="14087" max="14336" width="9.140625" style="10"/>
    <col min="14337" max="14337" width="20.28515625" style="10" customWidth="1"/>
    <col min="14338" max="14338" width="29.42578125" style="10" bestFit="1" customWidth="1"/>
    <col min="14339" max="14339" width="34.140625" style="10" bestFit="1" customWidth="1"/>
    <col min="14340" max="14341" width="16" style="10" customWidth="1"/>
    <col min="14342" max="14342" width="48.140625" style="10" bestFit="1" customWidth="1"/>
    <col min="14343" max="14592" width="9.140625" style="10"/>
    <col min="14593" max="14593" width="20.28515625" style="10" customWidth="1"/>
    <col min="14594" max="14594" width="29.42578125" style="10" bestFit="1" customWidth="1"/>
    <col min="14595" max="14595" width="34.140625" style="10" bestFit="1" customWidth="1"/>
    <col min="14596" max="14597" width="16" style="10" customWidth="1"/>
    <col min="14598" max="14598" width="48.140625" style="10" bestFit="1" customWidth="1"/>
    <col min="14599" max="14848" width="9.140625" style="10"/>
    <col min="14849" max="14849" width="20.28515625" style="10" customWidth="1"/>
    <col min="14850" max="14850" width="29.42578125" style="10" bestFit="1" customWidth="1"/>
    <col min="14851" max="14851" width="34.140625" style="10" bestFit="1" customWidth="1"/>
    <col min="14852" max="14853" width="16" style="10" customWidth="1"/>
    <col min="14854" max="14854" width="48.140625" style="10" bestFit="1" customWidth="1"/>
    <col min="14855" max="15104" width="9.140625" style="10"/>
    <col min="15105" max="15105" width="20.28515625" style="10" customWidth="1"/>
    <col min="15106" max="15106" width="29.42578125" style="10" bestFit="1" customWidth="1"/>
    <col min="15107" max="15107" width="34.140625" style="10" bestFit="1" customWidth="1"/>
    <col min="15108" max="15109" width="16" style="10" customWidth="1"/>
    <col min="15110" max="15110" width="48.140625" style="10" bestFit="1" customWidth="1"/>
    <col min="15111" max="15360" width="9.140625" style="10"/>
    <col min="15361" max="15361" width="20.28515625" style="10" customWidth="1"/>
    <col min="15362" max="15362" width="29.42578125" style="10" bestFit="1" customWidth="1"/>
    <col min="15363" max="15363" width="34.140625" style="10" bestFit="1" customWidth="1"/>
    <col min="15364" max="15365" width="16" style="10" customWidth="1"/>
    <col min="15366" max="15366" width="48.140625" style="10" bestFit="1" customWidth="1"/>
    <col min="15367" max="15616" width="9.140625" style="10"/>
    <col min="15617" max="15617" width="20.28515625" style="10" customWidth="1"/>
    <col min="15618" max="15618" width="29.42578125" style="10" bestFit="1" customWidth="1"/>
    <col min="15619" max="15619" width="34.140625" style="10" bestFit="1" customWidth="1"/>
    <col min="15620" max="15621" width="16" style="10" customWidth="1"/>
    <col min="15622" max="15622" width="48.140625" style="10" bestFit="1" customWidth="1"/>
    <col min="15623" max="15872" width="9.140625" style="10"/>
    <col min="15873" max="15873" width="20.28515625" style="10" customWidth="1"/>
    <col min="15874" max="15874" width="29.42578125" style="10" bestFit="1" customWidth="1"/>
    <col min="15875" max="15875" width="34.140625" style="10" bestFit="1" customWidth="1"/>
    <col min="15876" max="15877" width="16" style="10" customWidth="1"/>
    <col min="15878" max="15878" width="48.140625" style="10" bestFit="1" customWidth="1"/>
    <col min="15879" max="16128" width="9.140625" style="10"/>
    <col min="16129" max="16129" width="20.28515625" style="10" customWidth="1"/>
    <col min="16130" max="16130" width="29.42578125" style="10" bestFit="1" customWidth="1"/>
    <col min="16131" max="16131" width="34.140625" style="10" bestFit="1" customWidth="1"/>
    <col min="16132" max="16133" width="16" style="10" customWidth="1"/>
    <col min="16134" max="16134" width="48.140625" style="10" bestFit="1" customWidth="1"/>
    <col min="16135" max="16384" width="9.140625" style="10"/>
  </cols>
  <sheetData>
    <row r="1" spans="1:6" ht="15" x14ac:dyDescent="0.2">
      <c r="A1" s="11"/>
    </row>
    <row r="3" spans="1:6" ht="20.25" customHeight="1" x14ac:dyDescent="0.2">
      <c r="A3" s="12" t="s">
        <v>1</v>
      </c>
      <c r="B3" s="13" t="s">
        <v>78</v>
      </c>
      <c r="C3" s="13" t="s">
        <v>7</v>
      </c>
      <c r="D3" s="13" t="s">
        <v>2</v>
      </c>
      <c r="E3" s="13" t="s">
        <v>3</v>
      </c>
      <c r="F3" s="13" t="s">
        <v>79</v>
      </c>
    </row>
  </sheetData>
  <pageMargins left="0" right="0" top="0" bottom="0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C55"/>
  <sheetViews>
    <sheetView topLeftCell="A34" workbookViewId="0">
      <selection activeCell="C24" sqref="C24"/>
    </sheetView>
  </sheetViews>
  <sheetFormatPr defaultRowHeight="15" x14ac:dyDescent="0.25"/>
  <cols>
    <col min="1" max="1" width="19.7109375" style="34" customWidth="1"/>
    <col min="2" max="2" width="32.85546875" style="34" customWidth="1"/>
    <col min="3" max="3" width="28.140625" style="34" customWidth="1"/>
    <col min="4" max="16384" width="9.140625" style="34"/>
  </cols>
  <sheetData>
    <row r="2" spans="1:3" x14ac:dyDescent="0.25">
      <c r="A2" s="34" t="s">
        <v>80</v>
      </c>
      <c r="B2" s="34" t="s">
        <v>17</v>
      </c>
      <c r="C2" s="34" t="s">
        <v>7</v>
      </c>
    </row>
    <row r="3" spans="1:3" x14ac:dyDescent="0.25">
      <c r="A3" s="34" t="s">
        <v>23</v>
      </c>
      <c r="B3" s="34" t="s">
        <v>24</v>
      </c>
      <c r="C3" s="34" t="s">
        <v>25</v>
      </c>
    </row>
    <row r="4" spans="1:3" x14ac:dyDescent="0.25">
      <c r="A4" s="34" t="s">
        <v>67</v>
      </c>
      <c r="B4" s="34" t="s">
        <v>36</v>
      </c>
      <c r="C4" s="34" t="s">
        <v>25</v>
      </c>
    </row>
    <row r="5" spans="1:3" x14ac:dyDescent="0.25">
      <c r="A5" s="34" t="s">
        <v>68</v>
      </c>
      <c r="B5" s="34" t="s">
        <v>59</v>
      </c>
      <c r="C5" s="34" t="s">
        <v>69</v>
      </c>
    </row>
    <row r="6" spans="1:3" x14ac:dyDescent="0.25">
      <c r="A6" s="34" t="s">
        <v>57</v>
      </c>
      <c r="B6" s="34" t="s">
        <v>52</v>
      </c>
      <c r="C6" s="34" t="s">
        <v>56</v>
      </c>
    </row>
    <row r="7" spans="1:3" x14ac:dyDescent="0.25">
      <c r="A7" s="34" t="s">
        <v>93</v>
      </c>
      <c r="B7" s="34" t="s">
        <v>92</v>
      </c>
      <c r="C7" s="34" t="s">
        <v>56</v>
      </c>
    </row>
    <row r="8" spans="1:3" x14ac:dyDescent="0.25">
      <c r="A8" s="34" t="s">
        <v>70</v>
      </c>
      <c r="B8" s="34" t="s">
        <v>71</v>
      </c>
      <c r="C8" s="34" t="s">
        <v>24</v>
      </c>
    </row>
    <row r="9" spans="1:3" x14ac:dyDescent="0.25">
      <c r="A9" s="34" t="s">
        <v>47</v>
      </c>
      <c r="B9" s="34" t="s">
        <v>48</v>
      </c>
      <c r="C9" s="34" t="s">
        <v>14</v>
      </c>
    </row>
    <row r="10" spans="1:3" x14ac:dyDescent="0.25">
      <c r="A10" s="34" t="s">
        <v>100</v>
      </c>
      <c r="B10" s="34" t="s">
        <v>83</v>
      </c>
      <c r="C10" s="34" t="s">
        <v>56</v>
      </c>
    </row>
    <row r="11" spans="1:3" x14ac:dyDescent="0.25">
      <c r="A11" s="34" t="s">
        <v>95</v>
      </c>
      <c r="B11" s="34" t="s">
        <v>60</v>
      </c>
      <c r="C11" s="34" t="s">
        <v>56</v>
      </c>
    </row>
    <row r="12" spans="1:3" x14ac:dyDescent="0.25">
      <c r="A12" s="34" t="s">
        <v>34</v>
      </c>
      <c r="B12" s="34" t="s">
        <v>32</v>
      </c>
      <c r="C12" s="34" t="s">
        <v>24</v>
      </c>
    </row>
    <row r="13" spans="1:3" x14ac:dyDescent="0.25">
      <c r="A13" s="34" t="s">
        <v>72</v>
      </c>
      <c r="B13" s="34" t="s">
        <v>59</v>
      </c>
      <c r="C13" s="34" t="s">
        <v>14</v>
      </c>
    </row>
    <row r="14" spans="1:3" x14ac:dyDescent="0.25">
      <c r="A14" s="34" t="s">
        <v>42</v>
      </c>
      <c r="B14" s="34" t="s">
        <v>43</v>
      </c>
      <c r="C14" s="34" t="s">
        <v>24</v>
      </c>
    </row>
    <row r="15" spans="1:3" x14ac:dyDescent="0.25">
      <c r="A15" s="34" t="s">
        <v>29</v>
      </c>
      <c r="B15" s="34" t="s">
        <v>27</v>
      </c>
      <c r="C15" s="34" t="s">
        <v>24</v>
      </c>
    </row>
    <row r="16" spans="1:3" x14ac:dyDescent="0.25">
      <c r="A16" s="34" t="s">
        <v>35</v>
      </c>
      <c r="B16" s="34" t="s">
        <v>32</v>
      </c>
      <c r="C16" s="34" t="s">
        <v>36</v>
      </c>
    </row>
    <row r="17" spans="1:3" x14ac:dyDescent="0.25">
      <c r="A17" s="34" t="s">
        <v>66</v>
      </c>
      <c r="B17" s="34" t="s">
        <v>60</v>
      </c>
      <c r="C17" s="34" t="s">
        <v>53</v>
      </c>
    </row>
    <row r="18" spans="1:3" x14ac:dyDescent="0.25">
      <c r="A18" s="34" t="s">
        <v>37</v>
      </c>
      <c r="B18" s="34" t="s">
        <v>32</v>
      </c>
      <c r="C18" s="34" t="s">
        <v>36</v>
      </c>
    </row>
    <row r="19" spans="1:3" x14ac:dyDescent="0.25">
      <c r="A19" s="34" t="s">
        <v>64</v>
      </c>
      <c r="B19" s="34" t="s">
        <v>60</v>
      </c>
      <c r="C19" s="34" t="s">
        <v>63</v>
      </c>
    </row>
    <row r="20" spans="1:3" x14ac:dyDescent="0.25">
      <c r="A20" s="34" t="s">
        <v>91</v>
      </c>
      <c r="B20" s="34" t="s">
        <v>59</v>
      </c>
      <c r="C20" s="34" t="s">
        <v>56</v>
      </c>
    </row>
    <row r="21" spans="1:3" x14ac:dyDescent="0.25">
      <c r="A21" s="34" t="s">
        <v>58</v>
      </c>
      <c r="B21" s="34" t="s">
        <v>56</v>
      </c>
      <c r="C21" s="34" t="s">
        <v>59</v>
      </c>
    </row>
    <row r="22" spans="1:3" x14ac:dyDescent="0.25">
      <c r="A22" s="34" t="s">
        <v>87</v>
      </c>
      <c r="B22" s="34" t="s">
        <v>85</v>
      </c>
      <c r="C22" s="34" t="s">
        <v>88</v>
      </c>
    </row>
    <row r="23" spans="1:3" x14ac:dyDescent="0.25">
      <c r="A23" s="34" t="s">
        <v>73</v>
      </c>
      <c r="B23" s="34" t="s">
        <v>36</v>
      </c>
      <c r="C23" s="34" t="s">
        <v>55</v>
      </c>
    </row>
    <row r="24" spans="1:3" x14ac:dyDescent="0.25">
      <c r="A24" s="34" t="s">
        <v>38</v>
      </c>
      <c r="B24" s="34" t="s">
        <v>32</v>
      </c>
      <c r="C24" s="34" t="s">
        <v>6</v>
      </c>
    </row>
    <row r="25" spans="1:3" x14ac:dyDescent="0.25">
      <c r="A25" s="34" t="s">
        <v>40</v>
      </c>
      <c r="B25" s="34" t="s">
        <v>32</v>
      </c>
      <c r="C25" s="34" t="s">
        <v>39</v>
      </c>
    </row>
    <row r="26" spans="1:3" x14ac:dyDescent="0.25">
      <c r="A26" s="34" t="s">
        <v>74</v>
      </c>
      <c r="B26" s="34" t="s">
        <v>71</v>
      </c>
      <c r="C26" s="34" t="s">
        <v>39</v>
      </c>
    </row>
    <row r="27" spans="1:3" x14ac:dyDescent="0.25">
      <c r="A27" s="34" t="s">
        <v>96</v>
      </c>
      <c r="B27" s="34" t="s">
        <v>97</v>
      </c>
      <c r="C27" s="34" t="s">
        <v>6</v>
      </c>
    </row>
    <row r="28" spans="1:3" x14ac:dyDescent="0.25">
      <c r="A28" s="34" t="s">
        <v>51</v>
      </c>
      <c r="B28" s="34" t="s">
        <v>52</v>
      </c>
      <c r="C28" s="34" t="s">
        <v>53</v>
      </c>
    </row>
    <row r="29" spans="1:3" x14ac:dyDescent="0.25">
      <c r="A29" s="34" t="s">
        <v>75</v>
      </c>
      <c r="B29" s="34" t="s">
        <v>59</v>
      </c>
      <c r="C29" s="34" t="s">
        <v>39</v>
      </c>
    </row>
    <row r="30" spans="1:3" x14ac:dyDescent="0.25">
      <c r="A30" s="34" t="s">
        <v>30</v>
      </c>
      <c r="B30" s="34" t="s">
        <v>27</v>
      </c>
      <c r="C30" s="34" t="s">
        <v>6</v>
      </c>
    </row>
    <row r="31" spans="1:3" x14ac:dyDescent="0.25">
      <c r="A31" s="34" t="s">
        <v>54</v>
      </c>
      <c r="B31" s="34" t="s">
        <v>52</v>
      </c>
      <c r="C31" s="34" t="s">
        <v>55</v>
      </c>
    </row>
    <row r="32" spans="1:3" x14ac:dyDescent="0.25">
      <c r="A32" s="34" t="s">
        <v>21</v>
      </c>
      <c r="B32" s="34" t="s">
        <v>20</v>
      </c>
      <c r="C32" s="34" t="s">
        <v>6</v>
      </c>
    </row>
    <row r="33" spans="1:3" x14ac:dyDescent="0.25">
      <c r="A33" s="34" t="s">
        <v>86</v>
      </c>
      <c r="B33" s="34" t="s">
        <v>85</v>
      </c>
      <c r="C33" s="34" t="s">
        <v>55</v>
      </c>
    </row>
    <row r="34" spans="1:3" x14ac:dyDescent="0.25">
      <c r="A34" s="34" t="s">
        <v>8</v>
      </c>
      <c r="B34" s="34" t="s">
        <v>5</v>
      </c>
      <c r="C34" s="34" t="s">
        <v>6</v>
      </c>
    </row>
    <row r="35" spans="1:3" x14ac:dyDescent="0.25">
      <c r="A35" s="34" t="s">
        <v>13</v>
      </c>
      <c r="B35" s="34" t="s">
        <v>6</v>
      </c>
      <c r="C35" s="34" t="s">
        <v>14</v>
      </c>
    </row>
    <row r="36" spans="1:3" x14ac:dyDescent="0.25">
      <c r="A36"/>
      <c r="B36"/>
      <c r="C36"/>
    </row>
    <row r="37" spans="1:3" x14ac:dyDescent="0.25">
      <c r="A37"/>
      <c r="B37"/>
      <c r="C37"/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  <c r="B40"/>
      <c r="C40"/>
    </row>
    <row r="41" spans="1:3" x14ac:dyDescent="0.25">
      <c r="A41"/>
      <c r="B41"/>
      <c r="C41"/>
    </row>
    <row r="42" spans="1:3" x14ac:dyDescent="0.25">
      <c r="A42"/>
      <c r="B42"/>
      <c r="C42"/>
    </row>
    <row r="43" spans="1:3" x14ac:dyDescent="0.25">
      <c r="A43"/>
      <c r="B43"/>
      <c r="C43"/>
    </row>
    <row r="44" spans="1:3" x14ac:dyDescent="0.25">
      <c r="A44"/>
      <c r="B44"/>
      <c r="C44"/>
    </row>
    <row r="45" spans="1:3" x14ac:dyDescent="0.25">
      <c r="A45"/>
      <c r="B45"/>
      <c r="C45"/>
    </row>
    <row r="46" spans="1:3" x14ac:dyDescent="0.25">
      <c r="A46"/>
      <c r="B46"/>
      <c r="C46"/>
    </row>
    <row r="47" spans="1:3" x14ac:dyDescent="0.25">
      <c r="A47"/>
      <c r="B47"/>
      <c r="C47"/>
    </row>
    <row r="48" spans="1:3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</sheetData>
  <sortState ref="A1:C24">
    <sortCondition ref="A1:A24"/>
  </sortState>
  <conditionalFormatting sqref="A3:C3">
    <cfRule type="expression" dxfId="178" priority="98" stopIfTrue="1">
      <formula>#REF!+#REF!=0</formula>
    </cfRule>
  </conditionalFormatting>
  <conditionalFormatting sqref="A3:C3">
    <cfRule type="expression" dxfId="177" priority="189" stopIfTrue="1">
      <formula>#REF!+#REF!=0</formula>
    </cfRule>
  </conditionalFormatting>
  <conditionalFormatting sqref="A2:C3">
    <cfRule type="expression" dxfId="176" priority="191" stopIfTrue="1">
      <formula>#REF!+#REF!=0</formula>
    </cfRule>
  </conditionalFormatting>
  <conditionalFormatting sqref="A2:C3">
    <cfRule type="expression" dxfId="175" priority="193" stopIfTrue="1">
      <formula>#REF!+#REF!=0</formula>
    </cfRule>
  </conditionalFormatting>
  <conditionalFormatting sqref="A2:C3">
    <cfRule type="expression" dxfId="174" priority="195" stopIfTrue="1">
      <formula>#REF!+#REF!=0</formula>
    </cfRule>
  </conditionalFormatting>
  <conditionalFormatting sqref="A2:C3">
    <cfRule type="expression" dxfId="173" priority="199" stopIfTrue="1">
      <formula>#REF!+#REF!=0</formula>
    </cfRule>
  </conditionalFormatting>
  <conditionalFormatting sqref="A2:C4">
    <cfRule type="expression" dxfId="172" priority="201" stopIfTrue="1">
      <formula>#REF!+#REF!=0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6"/>
  <sheetViews>
    <sheetView tabSelected="1" zoomScaleNormal="100" workbookViewId="0">
      <selection activeCell="C29" sqref="C29"/>
    </sheetView>
  </sheetViews>
  <sheetFormatPr defaultRowHeight="15" x14ac:dyDescent="0.25"/>
  <cols>
    <col min="1" max="1" width="17" style="18" bestFit="1" customWidth="1"/>
    <col min="2" max="2" width="17.85546875" style="19" bestFit="1" customWidth="1"/>
    <col min="3" max="3" width="25.7109375" style="25" customWidth="1"/>
    <col min="4" max="4" width="12.42578125" style="19" customWidth="1"/>
    <col min="5" max="5" width="18.28515625" style="19" bestFit="1" customWidth="1"/>
    <col min="6" max="6" width="14.85546875" style="17" customWidth="1"/>
    <col min="7" max="7" width="19.5703125" style="20" customWidth="1"/>
    <col min="8" max="9" width="17.7109375" style="37" customWidth="1"/>
    <col min="10" max="10" width="9.140625" style="19"/>
    <col min="11" max="12" width="10.140625" style="19" bestFit="1" customWidth="1"/>
    <col min="13" max="16384" width="9.140625" style="19"/>
  </cols>
  <sheetData>
    <row r="1" spans="1:9" x14ac:dyDescent="0.25">
      <c r="A1" s="18" t="s">
        <v>18</v>
      </c>
      <c r="B1" s="19" t="s">
        <v>4</v>
      </c>
    </row>
    <row r="3" spans="1:9" x14ac:dyDescent="0.25">
      <c r="A3" s="18" t="s">
        <v>9</v>
      </c>
      <c r="B3" s="18" t="s">
        <v>0</v>
      </c>
      <c r="C3" s="25" t="s">
        <v>10</v>
      </c>
      <c r="D3" s="19" t="s">
        <v>80</v>
      </c>
      <c r="E3" s="19" t="s">
        <v>17</v>
      </c>
      <c r="F3" s="17" t="s">
        <v>7</v>
      </c>
      <c r="G3" s="20" t="s">
        <v>1</v>
      </c>
      <c r="H3" s="22" t="s">
        <v>2</v>
      </c>
      <c r="I3" s="38" t="s">
        <v>3</v>
      </c>
    </row>
    <row r="4" spans="1:9" x14ac:dyDescent="0.25">
      <c r="A4" s="29">
        <v>43466</v>
      </c>
      <c r="B4" s="29">
        <f>Ростов[[#This Row],[дата передачи]]+1</f>
        <v>43467</v>
      </c>
      <c r="C4" s="14" t="s">
        <v>11</v>
      </c>
      <c r="D4" s="17" t="s">
        <v>8</v>
      </c>
      <c r="E4" s="17" t="s">
        <v>5</v>
      </c>
      <c r="F4" s="17" t="s">
        <v>6</v>
      </c>
      <c r="G4" s="32">
        <v>43467</v>
      </c>
      <c r="H4" s="22">
        <v>190</v>
      </c>
      <c r="I4" s="22">
        <v>60</v>
      </c>
    </row>
    <row r="5" spans="1:9" x14ac:dyDescent="0.25">
      <c r="A5" s="29">
        <v>43467</v>
      </c>
      <c r="B5" s="29">
        <f>Ростов[[#This Row],[дата передачи]]+1</f>
        <v>43468</v>
      </c>
      <c r="C5" s="14" t="s">
        <v>11</v>
      </c>
      <c r="D5" s="17" t="s">
        <v>8</v>
      </c>
      <c r="E5" s="17" t="s">
        <v>5</v>
      </c>
      <c r="F5" s="17" t="s">
        <v>6</v>
      </c>
      <c r="G5" s="32">
        <v>43468</v>
      </c>
      <c r="H5" s="22">
        <v>180</v>
      </c>
      <c r="I5" s="22">
        <v>60</v>
      </c>
    </row>
    <row r="6" spans="1:9" x14ac:dyDescent="0.25">
      <c r="A6" s="29">
        <v>43468</v>
      </c>
      <c r="B6" s="29">
        <f>Ростов[[#This Row],[дата передачи]]+1</f>
        <v>43469</v>
      </c>
      <c r="C6" s="14" t="s">
        <v>11</v>
      </c>
      <c r="D6" s="17" t="s">
        <v>8</v>
      </c>
      <c r="E6" s="17" t="s">
        <v>5</v>
      </c>
      <c r="F6" s="17" t="s">
        <v>6</v>
      </c>
      <c r="G6" s="32">
        <v>43469</v>
      </c>
      <c r="H6" s="22">
        <v>140</v>
      </c>
      <c r="I6" s="22">
        <v>50</v>
      </c>
    </row>
  </sheetData>
  <conditionalFormatting sqref="A3:I6">
    <cfRule type="expression" dxfId="13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37"/>
  <sheetViews>
    <sheetView zoomScaleNormal="100" workbookViewId="0">
      <selection activeCell="F25" sqref="F25"/>
    </sheetView>
  </sheetViews>
  <sheetFormatPr defaultRowHeight="15" x14ac:dyDescent="0.25"/>
  <cols>
    <col min="1" max="1" width="17" style="8" bestFit="1" customWidth="1"/>
    <col min="2" max="2" width="17.85546875" bestFit="1" customWidth="1"/>
    <col min="3" max="3" width="25.7109375" style="23" customWidth="1"/>
    <col min="4" max="4" width="13" customWidth="1"/>
    <col min="5" max="5" width="18.28515625" bestFit="1" customWidth="1"/>
    <col min="6" max="6" width="16.85546875" style="4" customWidth="1"/>
    <col min="7" max="7" width="19.5703125" style="15" customWidth="1"/>
    <col min="8" max="9" width="17.7109375" style="35" customWidth="1"/>
    <col min="10" max="12" width="10.140625" bestFit="1" customWidth="1"/>
    <col min="15" max="15" width="10.140625" bestFit="1" customWidth="1"/>
  </cols>
  <sheetData>
    <row r="1" spans="1:9" x14ac:dyDescent="0.25">
      <c r="A1" s="8" t="s">
        <v>18</v>
      </c>
      <c r="B1" t="s">
        <v>16</v>
      </c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43466</v>
      </c>
      <c r="B4" s="28">
        <f>Адлер[[#This Row],[дата передачи]]+1</f>
        <v>43467</v>
      </c>
      <c r="C4" s="2" t="s">
        <v>15</v>
      </c>
      <c r="D4" s="4" t="s">
        <v>13</v>
      </c>
      <c r="E4" s="4" t="s">
        <v>6</v>
      </c>
      <c r="F4" s="4" t="s">
        <v>14</v>
      </c>
      <c r="G4" s="26">
        <v>43467</v>
      </c>
      <c r="H4" s="16">
        <v>90</v>
      </c>
      <c r="I4" s="16">
        <v>28</v>
      </c>
    </row>
    <row r="5" spans="1:9" x14ac:dyDescent="0.25">
      <c r="A5" s="28">
        <v>43467</v>
      </c>
      <c r="B5" s="28">
        <f>Адлер[[#This Row],[дата передачи]]+1</f>
        <v>43468</v>
      </c>
      <c r="C5" s="2" t="s">
        <v>15</v>
      </c>
      <c r="D5" s="4" t="s">
        <v>13</v>
      </c>
      <c r="E5" s="4" t="s">
        <v>6</v>
      </c>
      <c r="F5" s="4" t="s">
        <v>14</v>
      </c>
      <c r="G5" s="26">
        <v>43468</v>
      </c>
      <c r="H5" s="16">
        <v>90</v>
      </c>
      <c r="I5" s="16">
        <v>36</v>
      </c>
    </row>
    <row r="6" spans="1:9" x14ac:dyDescent="0.25">
      <c r="H6" s="36"/>
      <c r="I6" s="36"/>
    </row>
    <row r="7" spans="1:9" x14ac:dyDescent="0.25">
      <c r="H7" s="36"/>
      <c r="I7" s="36"/>
    </row>
    <row r="8" spans="1:9" x14ac:dyDescent="0.25">
      <c r="H8" s="36"/>
      <c r="I8" s="36"/>
    </row>
    <row r="9" spans="1:9" x14ac:dyDescent="0.25">
      <c r="H9" s="36"/>
      <c r="I9" s="36"/>
    </row>
    <row r="10" spans="1:9" x14ac:dyDescent="0.25">
      <c r="H10" s="36"/>
      <c r="I10" s="36"/>
    </row>
    <row r="11" spans="1:9" x14ac:dyDescent="0.25">
      <c r="H11" s="36"/>
      <c r="I11" s="36"/>
    </row>
    <row r="12" spans="1:9" x14ac:dyDescent="0.25">
      <c r="H12" s="36"/>
      <c r="I12" s="36"/>
    </row>
    <row r="13" spans="1:9" x14ac:dyDescent="0.25">
      <c r="H13" s="36"/>
      <c r="I13" s="36"/>
    </row>
    <row r="14" spans="1:9" x14ac:dyDescent="0.25">
      <c r="H14" s="36"/>
      <c r="I14" s="36"/>
    </row>
    <row r="15" spans="1:9" x14ac:dyDescent="0.25">
      <c r="H15" s="36"/>
      <c r="I15" s="36"/>
    </row>
    <row r="16" spans="1:9" x14ac:dyDescent="0.25">
      <c r="H16" s="36"/>
      <c r="I16" s="36"/>
    </row>
    <row r="17" spans="8:9" x14ac:dyDescent="0.25">
      <c r="H17" s="36"/>
      <c r="I17" s="36"/>
    </row>
    <row r="18" spans="8:9" x14ac:dyDescent="0.25">
      <c r="H18" s="36"/>
      <c r="I18" s="36"/>
    </row>
    <row r="19" spans="8:9" x14ac:dyDescent="0.25">
      <c r="H19" s="36"/>
      <c r="I19" s="36"/>
    </row>
    <row r="20" spans="8:9" x14ac:dyDescent="0.25">
      <c r="H20" s="36"/>
      <c r="I20" s="36"/>
    </row>
    <row r="21" spans="8:9" x14ac:dyDescent="0.25">
      <c r="H21" s="36"/>
      <c r="I21" s="36"/>
    </row>
    <row r="22" spans="8:9" x14ac:dyDescent="0.25">
      <c r="H22" s="36"/>
      <c r="I22" s="36"/>
    </row>
    <row r="23" spans="8:9" x14ac:dyDescent="0.25">
      <c r="H23" s="36"/>
      <c r="I23" s="36"/>
    </row>
    <row r="24" spans="8:9" x14ac:dyDescent="0.25">
      <c r="H24" s="36"/>
      <c r="I24" s="36"/>
    </row>
    <row r="25" spans="8:9" x14ac:dyDescent="0.25">
      <c r="H25" s="36"/>
      <c r="I25" s="36"/>
    </row>
    <row r="26" spans="8:9" x14ac:dyDescent="0.25">
      <c r="H26" s="36"/>
      <c r="I26" s="36"/>
    </row>
    <row r="27" spans="8:9" x14ac:dyDescent="0.25">
      <c r="H27" s="36"/>
      <c r="I27" s="36"/>
    </row>
    <row r="28" spans="8:9" x14ac:dyDescent="0.25">
      <c r="H28" s="36"/>
      <c r="I28" s="36"/>
    </row>
    <row r="29" spans="8:9" x14ac:dyDescent="0.25">
      <c r="H29" s="36"/>
      <c r="I29" s="36"/>
    </row>
    <row r="30" spans="8:9" x14ac:dyDescent="0.25">
      <c r="H30" s="36"/>
      <c r="I30" s="36"/>
    </row>
    <row r="31" spans="8:9" x14ac:dyDescent="0.25">
      <c r="H31" s="36"/>
      <c r="I31" s="36"/>
    </row>
    <row r="32" spans="8:9" x14ac:dyDescent="0.25">
      <c r="H32" s="36"/>
      <c r="I32" s="36"/>
    </row>
    <row r="33" spans="8:9" x14ac:dyDescent="0.25">
      <c r="H33" s="36"/>
      <c r="I33" s="36"/>
    </row>
    <row r="34" spans="8:9" x14ac:dyDescent="0.25">
      <c r="H34" s="36"/>
      <c r="I34" s="36"/>
    </row>
    <row r="35" spans="8:9" x14ac:dyDescent="0.25">
      <c r="H35" s="36"/>
      <c r="I35" s="36"/>
    </row>
    <row r="36" spans="8:9" x14ac:dyDescent="0.25">
      <c r="H36" s="36"/>
      <c r="I36" s="36"/>
    </row>
    <row r="37" spans="8:9" x14ac:dyDescent="0.25">
      <c r="H37" s="36"/>
      <c r="I37" s="36"/>
    </row>
  </sheetData>
  <conditionalFormatting sqref="A3:I5">
    <cfRule type="expression" dxfId="12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127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5" style="24" bestFit="1" customWidth="1"/>
    <col min="4" max="4" width="13" style="2" customWidth="1"/>
    <col min="5" max="5" width="29" style="4" bestFit="1" customWidth="1"/>
    <col min="6" max="6" width="16.85546875" style="4" customWidth="1"/>
    <col min="7" max="7" width="19.5703125" style="7" customWidth="1"/>
    <col min="8" max="9" width="17.7109375" style="6" customWidth="1"/>
    <col min="11" max="11" width="10.140625" bestFit="1" customWidth="1"/>
  </cols>
  <sheetData>
    <row r="1" spans="1:9" x14ac:dyDescent="0.25">
      <c r="A1" s="8" t="s">
        <v>18</v>
      </c>
      <c r="B1" t="s">
        <v>19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 t="s">
        <v>12</v>
      </c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43467</v>
      </c>
      <c r="B4" s="28">
        <f>Калининград[[#This Row],[дата передачи]]+1</f>
        <v>43468</v>
      </c>
      <c r="C4" s="2" t="s">
        <v>22</v>
      </c>
      <c r="D4" s="4" t="s">
        <v>21</v>
      </c>
      <c r="E4" s="4" t="s">
        <v>20</v>
      </c>
      <c r="F4" s="4" t="s">
        <v>6</v>
      </c>
      <c r="G4" s="26">
        <v>43469</v>
      </c>
      <c r="H4" s="16">
        <v>23</v>
      </c>
      <c r="I4" s="5"/>
    </row>
    <row r="5" spans="1:9" x14ac:dyDescent="0.25">
      <c r="A5" s="28">
        <v>43467</v>
      </c>
      <c r="B5" s="28">
        <f>Калининград[[#This Row],[дата передачи]]+1</f>
        <v>43468</v>
      </c>
      <c r="C5" s="2" t="s">
        <v>22</v>
      </c>
      <c r="D5" s="4" t="s">
        <v>21</v>
      </c>
      <c r="E5" s="4" t="s">
        <v>20</v>
      </c>
      <c r="F5" s="4" t="s">
        <v>6</v>
      </c>
      <c r="G5" s="26">
        <v>43471</v>
      </c>
      <c r="H5" s="16">
        <v>24</v>
      </c>
      <c r="I5" s="5"/>
    </row>
    <row r="6" spans="1:9" x14ac:dyDescent="0.25">
      <c r="A6" s="28">
        <v>43467</v>
      </c>
      <c r="B6" s="28">
        <f>Калининград[[#This Row],[дата передачи]]+1</f>
        <v>43468</v>
      </c>
      <c r="C6" s="2" t="s">
        <v>22</v>
      </c>
      <c r="D6" s="4" t="s">
        <v>21</v>
      </c>
      <c r="E6" s="4" t="s">
        <v>20</v>
      </c>
      <c r="F6" s="4" t="s">
        <v>6</v>
      </c>
      <c r="G6" s="26">
        <v>43473</v>
      </c>
      <c r="H6" s="16">
        <v>22</v>
      </c>
      <c r="I6" s="5"/>
    </row>
    <row r="7" spans="1:9" x14ac:dyDescent="0.25">
      <c r="A7" s="28"/>
      <c r="B7" s="28"/>
      <c r="C7" s="2"/>
      <c r="D7" s="4"/>
      <c r="G7" s="26"/>
      <c r="H7" s="16"/>
      <c r="I7" s="16"/>
    </row>
    <row r="8" spans="1:9" x14ac:dyDescent="0.25">
      <c r="A8" s="28"/>
      <c r="B8" s="28"/>
      <c r="C8" s="2"/>
      <c r="D8" s="4"/>
      <c r="G8" s="26"/>
      <c r="H8" s="16"/>
      <c r="I8" s="16"/>
    </row>
    <row r="9" spans="1:9" x14ac:dyDescent="0.25">
      <c r="A9" s="28"/>
      <c r="B9" s="28"/>
      <c r="C9" s="2"/>
      <c r="D9" s="4"/>
      <c r="G9" s="26"/>
      <c r="H9" s="16"/>
      <c r="I9" s="16"/>
    </row>
    <row r="10" spans="1:9" x14ac:dyDescent="0.25">
      <c r="A10" s="28"/>
      <c r="B10" s="28"/>
      <c r="C10" s="2"/>
      <c r="D10" s="4"/>
      <c r="G10" s="26"/>
      <c r="H10" s="16"/>
      <c r="I10" s="16"/>
    </row>
    <row r="11" spans="1:9" x14ac:dyDescent="0.25">
      <c r="A11" s="28"/>
      <c r="B11" s="28"/>
      <c r="C11" s="2"/>
      <c r="D11" s="4"/>
      <c r="G11" s="26"/>
      <c r="H11" s="16"/>
      <c r="I11" s="16"/>
    </row>
    <row r="12" spans="1:9" x14ac:dyDescent="0.25">
      <c r="A12" s="28"/>
      <c r="B12" s="28"/>
      <c r="C12" s="2"/>
      <c r="D12" s="4"/>
      <c r="G12" s="26"/>
      <c r="H12" s="16"/>
      <c r="I12" s="16"/>
    </row>
    <row r="13" spans="1:9" x14ac:dyDescent="0.25">
      <c r="A13" s="28"/>
      <c r="B13" s="28"/>
      <c r="C13" s="2"/>
      <c r="D13" s="4"/>
      <c r="G13" s="26"/>
      <c r="H13" s="16"/>
      <c r="I13" s="16"/>
    </row>
    <row r="14" spans="1:9" x14ac:dyDescent="0.25">
      <c r="A14" s="28"/>
      <c r="B14" s="28"/>
      <c r="C14" s="2"/>
      <c r="D14" s="4"/>
      <c r="G14" s="26"/>
      <c r="H14" s="16"/>
      <c r="I14" s="16"/>
    </row>
    <row r="15" spans="1:9" x14ac:dyDescent="0.25">
      <c r="A15" s="28"/>
      <c r="B15" s="28"/>
      <c r="C15" s="2"/>
      <c r="D15" s="4"/>
      <c r="G15" s="26"/>
      <c r="H15" s="16"/>
      <c r="I15" s="16"/>
    </row>
    <row r="16" spans="1:9" x14ac:dyDescent="0.25">
      <c r="A16" s="28"/>
      <c r="B16" s="28"/>
      <c r="C16" s="2"/>
      <c r="D16" s="4"/>
      <c r="G16" s="26"/>
      <c r="H16" s="16"/>
      <c r="I16" s="16"/>
    </row>
    <row r="17" spans="1:9" x14ac:dyDescent="0.25">
      <c r="A17" s="28"/>
      <c r="B17" s="28"/>
      <c r="C17" s="2"/>
      <c r="D17" s="4"/>
      <c r="G17" s="26"/>
      <c r="H17" s="16"/>
      <c r="I17" s="16"/>
    </row>
    <row r="18" spans="1:9" x14ac:dyDescent="0.25">
      <c r="A18" s="28"/>
      <c r="B18" s="28"/>
      <c r="C18" s="2"/>
      <c r="D18" s="4"/>
      <c r="G18" s="26"/>
      <c r="H18" s="16"/>
      <c r="I18" s="16"/>
    </row>
    <row r="19" spans="1:9" x14ac:dyDescent="0.25">
      <c r="A19" s="28"/>
      <c r="B19" s="28"/>
      <c r="C19" s="2"/>
      <c r="D19" s="4"/>
      <c r="G19" s="26"/>
      <c r="H19" s="16"/>
      <c r="I19" s="16"/>
    </row>
    <row r="20" spans="1:9" x14ac:dyDescent="0.25">
      <c r="A20" s="28"/>
      <c r="B20" s="28"/>
      <c r="C20" s="2"/>
      <c r="D20" s="4"/>
      <c r="G20" s="26"/>
      <c r="H20" s="16"/>
      <c r="I20" s="16"/>
    </row>
    <row r="21" spans="1:9" x14ac:dyDescent="0.25">
      <c r="A21" s="28"/>
      <c r="B21" s="28"/>
      <c r="C21" s="2"/>
      <c r="D21" s="4"/>
      <c r="G21" s="26"/>
      <c r="H21" s="16"/>
      <c r="I21" s="16"/>
    </row>
    <row r="22" spans="1:9" x14ac:dyDescent="0.25">
      <c r="A22" s="28"/>
      <c r="B22" s="28"/>
      <c r="C22" s="2"/>
      <c r="D22" s="4"/>
      <c r="G22" s="26"/>
      <c r="H22" s="16"/>
      <c r="I22" s="16"/>
    </row>
    <row r="23" spans="1:9" x14ac:dyDescent="0.25">
      <c r="A23" s="28"/>
      <c r="B23" s="28"/>
      <c r="C23" s="2"/>
      <c r="D23" s="4"/>
      <c r="G23" s="26"/>
      <c r="H23" s="16"/>
      <c r="I23" s="16"/>
    </row>
    <row r="24" spans="1:9" x14ac:dyDescent="0.25">
      <c r="A24" s="28"/>
      <c r="B24" s="28"/>
      <c r="C24" s="2"/>
      <c r="D24" s="4"/>
      <c r="G24" s="26"/>
      <c r="H24" s="16"/>
      <c r="I24" s="16"/>
    </row>
    <row r="25" spans="1:9" x14ac:dyDescent="0.25">
      <c r="A25" s="28"/>
      <c r="B25" s="28"/>
      <c r="C25" s="2"/>
      <c r="D25" s="4"/>
      <c r="G25" s="26"/>
      <c r="H25" s="16"/>
      <c r="I25" s="16"/>
    </row>
    <row r="26" spans="1:9" x14ac:dyDescent="0.25">
      <c r="A26" s="28"/>
      <c r="B26" s="28"/>
      <c r="C26" s="2"/>
      <c r="D26" s="4"/>
      <c r="G26" s="26"/>
      <c r="H26" s="16"/>
      <c r="I26" s="16"/>
    </row>
    <row r="27" spans="1:9" x14ac:dyDescent="0.25">
      <c r="A27" s="28"/>
      <c r="B27" s="28"/>
      <c r="C27" s="2"/>
      <c r="D27" s="4"/>
      <c r="G27" s="26"/>
      <c r="H27" s="16"/>
      <c r="I27" s="16"/>
    </row>
    <row r="28" spans="1:9" x14ac:dyDescent="0.25">
      <c r="A28" s="28"/>
      <c r="B28" s="28"/>
      <c r="C28" s="2"/>
      <c r="D28" s="4"/>
      <c r="G28" s="26"/>
      <c r="H28" s="16"/>
      <c r="I28" s="16"/>
    </row>
    <row r="29" spans="1:9" x14ac:dyDescent="0.25">
      <c r="A29" s="28"/>
      <c r="B29" s="28"/>
      <c r="C29" s="2"/>
      <c r="D29" s="4"/>
      <c r="G29" s="26"/>
      <c r="H29" s="16"/>
      <c r="I29" s="16"/>
    </row>
    <row r="30" spans="1:9" x14ac:dyDescent="0.25">
      <c r="A30" s="28"/>
      <c r="B30" s="28"/>
      <c r="C30" s="2"/>
      <c r="D30" s="4"/>
      <c r="G30" s="26"/>
      <c r="H30" s="16"/>
      <c r="I30" s="16"/>
    </row>
    <row r="31" spans="1:9" x14ac:dyDescent="0.25">
      <c r="A31" s="28"/>
      <c r="B31" s="28"/>
      <c r="C31" s="2"/>
      <c r="D31" s="4"/>
      <c r="G31" s="26"/>
      <c r="H31" s="16"/>
      <c r="I31" s="16"/>
    </row>
    <row r="32" spans="1:9" x14ac:dyDescent="0.25">
      <c r="A32" s="28"/>
      <c r="B32" s="28"/>
      <c r="C32" s="2"/>
      <c r="D32" s="4"/>
      <c r="G32" s="26"/>
      <c r="H32" s="16"/>
      <c r="I32" s="16"/>
    </row>
    <row r="33" spans="1:9" x14ac:dyDescent="0.25">
      <c r="A33" s="28"/>
      <c r="B33" s="28"/>
      <c r="C33" s="2"/>
      <c r="D33" s="4"/>
      <c r="G33" s="26"/>
      <c r="H33" s="16"/>
      <c r="I33" s="16"/>
    </row>
    <row r="34" spans="1:9" x14ac:dyDescent="0.25">
      <c r="A34" s="28"/>
      <c r="B34" s="28"/>
      <c r="C34" s="2"/>
      <c r="D34" s="4"/>
      <c r="G34" s="26"/>
      <c r="H34" s="16"/>
      <c r="I34" s="16"/>
    </row>
    <row r="35" spans="1:9" x14ac:dyDescent="0.25">
      <c r="A35" s="28"/>
      <c r="B35" s="28"/>
      <c r="C35" s="2"/>
      <c r="D35" s="4"/>
      <c r="G35" s="26"/>
      <c r="H35" s="16"/>
      <c r="I35" s="16"/>
    </row>
    <row r="36" spans="1:9" x14ac:dyDescent="0.25">
      <c r="A36" s="28"/>
      <c r="B36" s="28"/>
      <c r="C36" s="2"/>
      <c r="D36" s="4"/>
      <c r="G36" s="26"/>
      <c r="H36" s="16"/>
      <c r="I36" s="16"/>
    </row>
    <row r="37" spans="1:9" x14ac:dyDescent="0.25">
      <c r="A37" s="28"/>
      <c r="B37" s="28"/>
      <c r="C37" s="2"/>
      <c r="D37" s="4"/>
      <c r="G37" s="26"/>
      <c r="H37" s="16"/>
      <c r="I37" s="16"/>
    </row>
    <row r="38" spans="1:9" x14ac:dyDescent="0.25">
      <c r="A38" s="28"/>
      <c r="B38" s="28"/>
      <c r="C38" s="2"/>
      <c r="D38" s="4"/>
      <c r="G38" s="26"/>
      <c r="H38" s="16"/>
      <c r="I38" s="16"/>
    </row>
    <row r="39" spans="1:9" x14ac:dyDescent="0.25">
      <c r="A39" s="28"/>
      <c r="B39" s="28"/>
      <c r="C39" s="2"/>
      <c r="D39" s="4"/>
      <c r="G39" s="26"/>
      <c r="H39" s="16"/>
      <c r="I39" s="16"/>
    </row>
    <row r="40" spans="1:9" x14ac:dyDescent="0.25">
      <c r="A40" s="28"/>
      <c r="B40" s="28"/>
      <c r="C40" s="2"/>
      <c r="D40" s="4"/>
      <c r="G40" s="26"/>
      <c r="H40" s="16"/>
      <c r="I40" s="16"/>
    </row>
    <row r="41" spans="1:9" x14ac:dyDescent="0.25">
      <c r="A41" s="28"/>
      <c r="B41" s="28"/>
      <c r="C41" s="2"/>
      <c r="D41" s="4"/>
      <c r="G41" s="26"/>
      <c r="H41" s="16"/>
      <c r="I41" s="16"/>
    </row>
    <row r="42" spans="1:9" x14ac:dyDescent="0.25">
      <c r="A42" s="28"/>
      <c r="B42" s="28"/>
      <c r="C42" s="2"/>
      <c r="D42" s="4"/>
      <c r="G42" s="26"/>
      <c r="H42" s="16"/>
      <c r="I42" s="16"/>
    </row>
    <row r="43" spans="1:9" x14ac:dyDescent="0.25">
      <c r="A43" s="28"/>
      <c r="B43" s="28"/>
      <c r="C43" s="2"/>
      <c r="D43" s="4"/>
      <c r="G43" s="26"/>
      <c r="H43" s="16"/>
      <c r="I43" s="16"/>
    </row>
    <row r="44" spans="1:9" x14ac:dyDescent="0.25">
      <c r="A44" s="28"/>
      <c r="B44" s="28"/>
      <c r="C44" s="2"/>
      <c r="D44" s="4"/>
      <c r="G44" s="26"/>
      <c r="H44" s="16"/>
      <c r="I44" s="16"/>
    </row>
    <row r="45" spans="1:9" x14ac:dyDescent="0.25">
      <c r="A45" s="28"/>
      <c r="B45" s="28"/>
      <c r="C45" s="2"/>
      <c r="D45" s="4"/>
      <c r="G45" s="26"/>
      <c r="H45" s="16"/>
      <c r="I45" s="16"/>
    </row>
    <row r="46" spans="1:9" x14ac:dyDescent="0.25">
      <c r="A46" s="28"/>
      <c r="B46" s="28"/>
      <c r="C46" s="2"/>
      <c r="D46" s="4"/>
      <c r="G46" s="26"/>
      <c r="H46" s="16"/>
      <c r="I46" s="16"/>
    </row>
    <row r="47" spans="1:9" x14ac:dyDescent="0.25">
      <c r="A47" s="28"/>
      <c r="B47" s="28"/>
      <c r="C47" s="2"/>
      <c r="D47" s="4"/>
      <c r="G47" s="26"/>
      <c r="H47" s="16"/>
      <c r="I47" s="16"/>
    </row>
    <row r="48" spans="1:9" x14ac:dyDescent="0.25">
      <c r="A48" s="28"/>
      <c r="B48" s="28"/>
      <c r="C48" s="2"/>
      <c r="D48" s="4"/>
      <c r="G48" s="26"/>
      <c r="H48" s="16"/>
      <c r="I48" s="16"/>
    </row>
    <row r="49" spans="1:9" x14ac:dyDescent="0.25">
      <c r="A49" s="28"/>
      <c r="B49" s="28"/>
      <c r="C49" s="2"/>
      <c r="D49" s="4"/>
      <c r="G49" s="26"/>
      <c r="H49" s="16"/>
      <c r="I49" s="16"/>
    </row>
    <row r="50" spans="1:9" x14ac:dyDescent="0.25">
      <c r="A50" s="28"/>
      <c r="B50" s="28"/>
      <c r="C50" s="2"/>
      <c r="D50" s="4"/>
      <c r="G50" s="26"/>
      <c r="H50" s="16"/>
      <c r="I50" s="16"/>
    </row>
    <row r="51" spans="1:9" x14ac:dyDescent="0.25">
      <c r="A51" s="28"/>
      <c r="B51" s="28"/>
      <c r="C51" s="2"/>
      <c r="D51" s="4"/>
      <c r="G51" s="26"/>
      <c r="H51" s="16"/>
      <c r="I51" s="16"/>
    </row>
    <row r="52" spans="1:9" x14ac:dyDescent="0.25">
      <c r="A52" s="28"/>
      <c r="B52" s="28"/>
      <c r="C52" s="2"/>
      <c r="D52" s="4"/>
      <c r="G52" s="26"/>
      <c r="H52" s="16"/>
      <c r="I52" s="16"/>
    </row>
    <row r="53" spans="1:9" x14ac:dyDescent="0.25">
      <c r="A53" s="28"/>
      <c r="B53" s="28"/>
      <c r="C53" s="2"/>
      <c r="D53" s="4"/>
      <c r="G53" s="26"/>
      <c r="H53" s="16"/>
      <c r="I53" s="16"/>
    </row>
    <row r="54" spans="1:9" x14ac:dyDescent="0.25">
      <c r="A54" s="28"/>
      <c r="B54" s="28"/>
      <c r="C54" s="2"/>
      <c r="D54" s="4"/>
      <c r="G54" s="26"/>
      <c r="H54" s="16"/>
      <c r="I54" s="16"/>
    </row>
    <row r="55" spans="1:9" x14ac:dyDescent="0.25">
      <c r="A55" s="28"/>
      <c r="B55" s="28"/>
      <c r="C55" s="2"/>
      <c r="D55" s="4"/>
      <c r="G55" s="26"/>
      <c r="H55" s="16"/>
      <c r="I55" s="16"/>
    </row>
    <row r="56" spans="1:9" x14ac:dyDescent="0.25">
      <c r="A56" s="28"/>
      <c r="B56" s="28"/>
      <c r="C56" s="2"/>
      <c r="D56" s="4"/>
      <c r="G56" s="26"/>
      <c r="H56" s="16"/>
      <c r="I56" s="16"/>
    </row>
    <row r="57" spans="1:9" x14ac:dyDescent="0.25">
      <c r="A57" s="28"/>
      <c r="B57" s="28"/>
      <c r="C57" s="2"/>
      <c r="D57" s="4"/>
      <c r="G57" s="26"/>
      <c r="H57" s="16"/>
      <c r="I57" s="16"/>
    </row>
    <row r="58" spans="1:9" x14ac:dyDescent="0.25">
      <c r="A58" s="28"/>
      <c r="B58" s="28"/>
      <c r="C58" s="2"/>
      <c r="D58" s="4"/>
      <c r="G58" s="26"/>
      <c r="H58" s="16"/>
      <c r="I58" s="16"/>
    </row>
    <row r="59" spans="1:9" x14ac:dyDescent="0.25">
      <c r="A59" s="28"/>
      <c r="B59" s="28"/>
      <c r="C59" s="2"/>
      <c r="D59" s="4"/>
      <c r="G59" s="26"/>
      <c r="H59" s="16"/>
      <c r="I59" s="16"/>
    </row>
    <row r="60" spans="1:9" x14ac:dyDescent="0.25">
      <c r="A60" s="28"/>
      <c r="B60" s="28"/>
      <c r="C60" s="2"/>
      <c r="D60" s="4"/>
      <c r="G60" s="26"/>
      <c r="H60" s="16"/>
      <c r="I60" s="16"/>
    </row>
    <row r="61" spans="1:9" x14ac:dyDescent="0.25">
      <c r="A61" s="28"/>
      <c r="B61" s="28"/>
      <c r="C61" s="2"/>
      <c r="D61" s="4"/>
      <c r="G61" s="26"/>
      <c r="H61" s="16"/>
      <c r="I61" s="16"/>
    </row>
    <row r="62" spans="1:9" x14ac:dyDescent="0.25">
      <c r="A62" s="28"/>
      <c r="B62" s="28"/>
      <c r="C62" s="2"/>
      <c r="D62" s="4"/>
      <c r="G62" s="26"/>
      <c r="H62" s="16"/>
      <c r="I62" s="16"/>
    </row>
    <row r="63" spans="1:9" x14ac:dyDescent="0.25">
      <c r="A63" s="28"/>
      <c r="B63" s="28"/>
      <c r="C63" s="2"/>
      <c r="D63" s="4"/>
      <c r="G63" s="26"/>
      <c r="H63" s="16"/>
      <c r="I63" s="16"/>
    </row>
    <row r="64" spans="1:9" x14ac:dyDescent="0.25">
      <c r="A64" s="28"/>
      <c r="B64" s="28"/>
      <c r="C64" s="2"/>
      <c r="D64" s="4"/>
      <c r="G64" s="26"/>
      <c r="H64" s="16"/>
      <c r="I64" s="16"/>
    </row>
    <row r="65" spans="8:9" x14ac:dyDescent="0.25">
      <c r="H65" s="16"/>
      <c r="I65" s="16"/>
    </row>
    <row r="66" spans="8:9" x14ac:dyDescent="0.25">
      <c r="H66" s="16"/>
      <c r="I66" s="16"/>
    </row>
    <row r="67" spans="8:9" x14ac:dyDescent="0.25">
      <c r="H67" s="16"/>
      <c r="I67" s="16"/>
    </row>
    <row r="68" spans="8:9" x14ac:dyDescent="0.25">
      <c r="H68" s="16"/>
      <c r="I68" s="16"/>
    </row>
    <row r="69" spans="8:9" x14ac:dyDescent="0.25">
      <c r="H69" s="16"/>
      <c r="I69" s="16"/>
    </row>
    <row r="70" spans="8:9" x14ac:dyDescent="0.25">
      <c r="H70" s="16"/>
      <c r="I70" s="16"/>
    </row>
    <row r="71" spans="8:9" x14ac:dyDescent="0.25">
      <c r="H71" s="16"/>
      <c r="I71" s="16"/>
    </row>
    <row r="72" spans="8:9" x14ac:dyDescent="0.25">
      <c r="H72" s="16"/>
      <c r="I72" s="16"/>
    </row>
    <row r="73" spans="8:9" x14ac:dyDescent="0.25">
      <c r="H73" s="16"/>
      <c r="I73" s="16"/>
    </row>
    <row r="74" spans="8:9" x14ac:dyDescent="0.25">
      <c r="H74" s="16"/>
      <c r="I74" s="16"/>
    </row>
    <row r="75" spans="8:9" x14ac:dyDescent="0.25">
      <c r="H75" s="16"/>
      <c r="I75" s="16"/>
    </row>
    <row r="76" spans="8:9" x14ac:dyDescent="0.25">
      <c r="H76" s="16"/>
      <c r="I76" s="16"/>
    </row>
    <row r="77" spans="8:9" x14ac:dyDescent="0.25">
      <c r="H77" s="16"/>
      <c r="I77" s="16"/>
    </row>
    <row r="78" spans="8:9" x14ac:dyDescent="0.25">
      <c r="H78" s="16"/>
      <c r="I78" s="16"/>
    </row>
    <row r="79" spans="8:9" x14ac:dyDescent="0.25">
      <c r="H79" s="16"/>
      <c r="I79" s="16"/>
    </row>
    <row r="80" spans="8:9" x14ac:dyDescent="0.25">
      <c r="H80" s="16"/>
      <c r="I80" s="16"/>
    </row>
    <row r="81" spans="8:9" x14ac:dyDescent="0.25">
      <c r="H81" s="16"/>
      <c r="I81" s="16"/>
    </row>
    <row r="82" spans="8:9" x14ac:dyDescent="0.25">
      <c r="H82" s="16"/>
      <c r="I82" s="16"/>
    </row>
    <row r="83" spans="8:9" x14ac:dyDescent="0.25">
      <c r="H83" s="16"/>
      <c r="I83" s="16"/>
    </row>
    <row r="84" spans="8:9" x14ac:dyDescent="0.25">
      <c r="H84" s="16"/>
      <c r="I84" s="16"/>
    </row>
    <row r="85" spans="8:9" x14ac:dyDescent="0.25">
      <c r="H85" s="16"/>
      <c r="I85" s="16"/>
    </row>
    <row r="86" spans="8:9" x14ac:dyDescent="0.25">
      <c r="H86" s="16"/>
      <c r="I86" s="16"/>
    </row>
    <row r="87" spans="8:9" x14ac:dyDescent="0.25">
      <c r="H87" s="16"/>
      <c r="I87" s="16"/>
    </row>
    <row r="88" spans="8:9" x14ac:dyDescent="0.25">
      <c r="H88" s="16"/>
      <c r="I88" s="16"/>
    </row>
    <row r="89" spans="8:9" x14ac:dyDescent="0.25">
      <c r="H89" s="16"/>
      <c r="I89" s="16"/>
    </row>
    <row r="90" spans="8:9" x14ac:dyDescent="0.25">
      <c r="H90" s="16"/>
      <c r="I90" s="16"/>
    </row>
    <row r="91" spans="8:9" x14ac:dyDescent="0.25">
      <c r="H91" s="16"/>
      <c r="I91" s="16"/>
    </row>
    <row r="92" spans="8:9" x14ac:dyDescent="0.25">
      <c r="H92" s="16"/>
      <c r="I92" s="16"/>
    </row>
    <row r="93" spans="8:9" x14ac:dyDescent="0.25">
      <c r="H93" s="16"/>
      <c r="I93" s="16"/>
    </row>
    <row r="94" spans="8:9" x14ac:dyDescent="0.25">
      <c r="H94" s="16"/>
      <c r="I94" s="16"/>
    </row>
    <row r="95" spans="8:9" x14ac:dyDescent="0.25">
      <c r="H95" s="16"/>
      <c r="I95" s="16"/>
    </row>
    <row r="96" spans="8:9" x14ac:dyDescent="0.25">
      <c r="H96" s="16"/>
      <c r="I96" s="16"/>
    </row>
    <row r="97" spans="8:9" x14ac:dyDescent="0.25">
      <c r="H97" s="16"/>
      <c r="I97" s="16"/>
    </row>
    <row r="98" spans="8:9" x14ac:dyDescent="0.25">
      <c r="H98" s="16"/>
      <c r="I98" s="16"/>
    </row>
    <row r="99" spans="8:9" x14ac:dyDescent="0.25">
      <c r="H99" s="16"/>
      <c r="I99" s="16"/>
    </row>
    <row r="100" spans="8:9" x14ac:dyDescent="0.25">
      <c r="H100" s="16"/>
      <c r="I100" s="16"/>
    </row>
    <row r="101" spans="8:9" x14ac:dyDescent="0.25">
      <c r="H101" s="16"/>
      <c r="I101" s="16"/>
    </row>
    <row r="102" spans="8:9" x14ac:dyDescent="0.25">
      <c r="H102" s="16"/>
      <c r="I102" s="16"/>
    </row>
    <row r="103" spans="8:9" x14ac:dyDescent="0.25">
      <c r="H103" s="16"/>
      <c r="I103" s="16"/>
    </row>
    <row r="104" spans="8:9" x14ac:dyDescent="0.25">
      <c r="H104" s="16"/>
      <c r="I104" s="16"/>
    </row>
    <row r="105" spans="8:9" x14ac:dyDescent="0.25">
      <c r="H105" s="16"/>
      <c r="I105" s="16"/>
    </row>
    <row r="106" spans="8:9" x14ac:dyDescent="0.25">
      <c r="H106" s="16"/>
      <c r="I106" s="16"/>
    </row>
    <row r="107" spans="8:9" x14ac:dyDescent="0.25">
      <c r="H107" s="16"/>
      <c r="I107" s="16"/>
    </row>
    <row r="108" spans="8:9" x14ac:dyDescent="0.25">
      <c r="H108" s="16"/>
      <c r="I108" s="16"/>
    </row>
    <row r="109" spans="8:9" x14ac:dyDescent="0.25">
      <c r="H109" s="16"/>
      <c r="I109" s="16"/>
    </row>
    <row r="110" spans="8:9" x14ac:dyDescent="0.25">
      <c r="H110" s="16"/>
      <c r="I110" s="16"/>
    </row>
    <row r="111" spans="8:9" x14ac:dyDescent="0.25">
      <c r="H111" s="16"/>
      <c r="I111" s="16"/>
    </row>
    <row r="112" spans="8:9" x14ac:dyDescent="0.25">
      <c r="H112" s="16"/>
      <c r="I112" s="16"/>
    </row>
    <row r="113" spans="8:9" x14ac:dyDescent="0.25">
      <c r="H113" s="16"/>
      <c r="I113" s="16"/>
    </row>
    <row r="114" spans="8:9" x14ac:dyDescent="0.25">
      <c r="H114" s="16"/>
      <c r="I114" s="16"/>
    </row>
    <row r="115" spans="8:9" x14ac:dyDescent="0.25">
      <c r="H115" s="16"/>
      <c r="I115" s="16"/>
    </row>
    <row r="116" spans="8:9" x14ac:dyDescent="0.25">
      <c r="H116" s="16"/>
      <c r="I116" s="16"/>
    </row>
    <row r="117" spans="8:9" x14ac:dyDescent="0.25">
      <c r="H117" s="16"/>
      <c r="I117" s="16"/>
    </row>
    <row r="118" spans="8:9" x14ac:dyDescent="0.25">
      <c r="H118" s="16"/>
      <c r="I118" s="16"/>
    </row>
    <row r="119" spans="8:9" x14ac:dyDescent="0.25">
      <c r="H119" s="16"/>
      <c r="I119" s="16"/>
    </row>
    <row r="120" spans="8:9" x14ac:dyDescent="0.25">
      <c r="H120" s="16"/>
      <c r="I120" s="16"/>
    </row>
    <row r="121" spans="8:9" x14ac:dyDescent="0.25">
      <c r="H121" s="16"/>
      <c r="I121" s="16"/>
    </row>
    <row r="122" spans="8:9" x14ac:dyDescent="0.25">
      <c r="H122" s="16"/>
      <c r="I122" s="16"/>
    </row>
    <row r="123" spans="8:9" x14ac:dyDescent="0.25">
      <c r="H123" s="16"/>
      <c r="I123" s="16"/>
    </row>
    <row r="124" spans="8:9" x14ac:dyDescent="0.25">
      <c r="H124" s="16"/>
      <c r="I124" s="16"/>
    </row>
    <row r="125" spans="8:9" x14ac:dyDescent="0.25">
      <c r="H125" s="16"/>
      <c r="I125" s="16"/>
    </row>
    <row r="126" spans="8:9" x14ac:dyDescent="0.25">
      <c r="H126" s="16"/>
      <c r="I126" s="16"/>
    </row>
    <row r="127" spans="8:9" x14ac:dyDescent="0.25">
      <c r="H127" s="16"/>
      <c r="I127" s="16"/>
    </row>
  </sheetData>
  <conditionalFormatting sqref="A3:I6">
    <cfRule type="expression" dxfId="11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125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3.85546875" style="24" customWidth="1"/>
    <col min="4" max="4" width="13" style="2" customWidth="1"/>
    <col min="5" max="5" width="29" style="4" bestFit="1" customWidth="1"/>
    <col min="6" max="6" width="16.85546875" style="4" customWidth="1"/>
    <col min="7" max="7" width="19.5703125" style="7" customWidth="1"/>
    <col min="8" max="9" width="17.7109375" style="6" customWidth="1"/>
    <col min="10" max="10" width="10.140625" bestFit="1" customWidth="1"/>
    <col min="11" max="11" width="15.140625" customWidth="1"/>
    <col min="12" max="12" width="10.140625" bestFit="1" customWidth="1"/>
  </cols>
  <sheetData>
    <row r="1" spans="1:9" x14ac:dyDescent="0.25">
      <c r="A1" s="8" t="s">
        <v>18</v>
      </c>
      <c r="B1" t="s">
        <v>26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43466</v>
      </c>
      <c r="B4" s="28">
        <f>Владивосток[[#This Row],[дата передачи]]+6</f>
        <v>43472</v>
      </c>
      <c r="C4" s="2" t="s">
        <v>46</v>
      </c>
      <c r="D4" s="27" t="s">
        <v>23</v>
      </c>
      <c r="E4" s="27" t="s">
        <v>24</v>
      </c>
      <c r="F4" s="4" t="s">
        <v>25</v>
      </c>
      <c r="G4" s="26">
        <v>43466</v>
      </c>
      <c r="H4" s="16">
        <v>110</v>
      </c>
      <c r="I4" s="5">
        <v>110</v>
      </c>
    </row>
    <row r="5" spans="1:9" x14ac:dyDescent="0.25">
      <c r="A5" s="28">
        <v>43468</v>
      </c>
      <c r="B5" s="28">
        <f>Владивосток[[#This Row],[дата передачи]]+6</f>
        <v>43474</v>
      </c>
      <c r="C5" s="2" t="s">
        <v>46</v>
      </c>
      <c r="D5" s="27" t="s">
        <v>23</v>
      </c>
      <c r="E5" s="27" t="s">
        <v>24</v>
      </c>
      <c r="F5" s="4" t="s">
        <v>25</v>
      </c>
      <c r="G5" s="26">
        <v>43468</v>
      </c>
      <c r="H5" s="16">
        <v>140</v>
      </c>
      <c r="I5" s="5">
        <v>110</v>
      </c>
    </row>
    <row r="6" spans="1:9" x14ac:dyDescent="0.25">
      <c r="A6" s="28"/>
      <c r="B6" s="28"/>
      <c r="C6" s="2"/>
      <c r="D6" s="4"/>
      <c r="G6" s="26"/>
      <c r="H6" s="16"/>
      <c r="I6" s="16"/>
    </row>
    <row r="7" spans="1:9" x14ac:dyDescent="0.25">
      <c r="A7" s="28"/>
      <c r="B7" s="28"/>
      <c r="C7" s="2"/>
      <c r="D7" s="4"/>
      <c r="G7" s="26"/>
      <c r="H7" s="16"/>
      <c r="I7" s="16"/>
    </row>
    <row r="8" spans="1:9" x14ac:dyDescent="0.25">
      <c r="A8" s="28"/>
      <c r="B8" s="28"/>
      <c r="C8" s="2"/>
      <c r="D8" s="4"/>
      <c r="G8" s="26"/>
      <c r="H8" s="16"/>
      <c r="I8" s="16"/>
    </row>
    <row r="9" spans="1:9" x14ac:dyDescent="0.25">
      <c r="A9" s="28"/>
      <c r="B9" s="28"/>
      <c r="C9" s="2"/>
      <c r="D9" s="4"/>
      <c r="G9" s="26"/>
      <c r="H9" s="16"/>
      <c r="I9" s="16"/>
    </row>
    <row r="10" spans="1:9" x14ac:dyDescent="0.25">
      <c r="A10" s="28"/>
      <c r="B10" s="28"/>
      <c r="C10" s="2"/>
      <c r="D10" s="4"/>
      <c r="G10" s="26"/>
      <c r="H10" s="16"/>
      <c r="I10" s="16"/>
    </row>
    <row r="11" spans="1:9" x14ac:dyDescent="0.25">
      <c r="A11" s="28"/>
      <c r="B11" s="28"/>
      <c r="C11" s="2"/>
      <c r="D11" s="4"/>
      <c r="G11" s="26"/>
      <c r="H11" s="16"/>
      <c r="I11" s="16"/>
    </row>
    <row r="12" spans="1:9" x14ac:dyDescent="0.25">
      <c r="A12" s="28"/>
      <c r="B12" s="28"/>
      <c r="C12" s="2"/>
      <c r="D12" s="4"/>
      <c r="G12" s="26"/>
      <c r="H12" s="16"/>
      <c r="I12" s="16"/>
    </row>
    <row r="13" spans="1:9" x14ac:dyDescent="0.25">
      <c r="A13" s="28"/>
      <c r="B13" s="28"/>
      <c r="C13" s="2"/>
      <c r="D13" s="4"/>
      <c r="G13" s="26"/>
      <c r="H13" s="16"/>
      <c r="I13" s="16"/>
    </row>
    <row r="14" spans="1:9" x14ac:dyDescent="0.25">
      <c r="A14" s="28"/>
      <c r="B14" s="28"/>
      <c r="C14" s="2"/>
      <c r="D14" s="4"/>
      <c r="G14" s="26"/>
      <c r="H14" s="16"/>
      <c r="I14" s="16"/>
    </row>
    <row r="15" spans="1:9" x14ac:dyDescent="0.25">
      <c r="A15" s="28"/>
      <c r="B15" s="28"/>
      <c r="C15" s="2"/>
      <c r="D15" s="4"/>
      <c r="G15" s="26"/>
      <c r="H15" s="16"/>
      <c r="I15" s="16"/>
    </row>
    <row r="16" spans="1:9" x14ac:dyDescent="0.25">
      <c r="A16" s="28"/>
      <c r="B16" s="28"/>
      <c r="C16" s="2"/>
      <c r="D16" s="4"/>
      <c r="G16" s="26"/>
      <c r="H16" s="16"/>
      <c r="I16" s="16"/>
    </row>
    <row r="17" spans="1:9" x14ac:dyDescent="0.25">
      <c r="A17" s="28"/>
      <c r="B17" s="28"/>
      <c r="C17" s="2"/>
      <c r="D17" s="4"/>
      <c r="G17" s="26"/>
      <c r="H17" s="16"/>
      <c r="I17" s="16"/>
    </row>
    <row r="18" spans="1:9" x14ac:dyDescent="0.25">
      <c r="A18" s="28"/>
      <c r="B18" s="28"/>
      <c r="C18" s="2"/>
      <c r="D18" s="4"/>
      <c r="G18" s="26"/>
      <c r="H18" s="16"/>
      <c r="I18" s="16"/>
    </row>
    <row r="19" spans="1:9" x14ac:dyDescent="0.25">
      <c r="A19" s="28"/>
      <c r="B19" s="28"/>
      <c r="C19" s="2"/>
      <c r="D19" s="4"/>
      <c r="G19" s="26"/>
      <c r="H19" s="16"/>
      <c r="I19" s="16"/>
    </row>
    <row r="20" spans="1:9" x14ac:dyDescent="0.25">
      <c r="A20" s="28"/>
      <c r="B20" s="28"/>
      <c r="C20" s="2"/>
      <c r="D20" s="4"/>
      <c r="G20" s="26"/>
      <c r="H20" s="16"/>
      <c r="I20" s="16"/>
    </row>
    <row r="21" spans="1:9" x14ac:dyDescent="0.25">
      <c r="A21" s="28"/>
      <c r="B21" s="28"/>
      <c r="C21" s="2"/>
      <c r="D21" s="4"/>
      <c r="G21" s="26"/>
      <c r="H21" s="16"/>
      <c r="I21" s="16"/>
    </row>
    <row r="22" spans="1:9" x14ac:dyDescent="0.25">
      <c r="A22" s="28"/>
      <c r="B22" s="28"/>
      <c r="C22" s="2"/>
      <c r="D22" s="4"/>
      <c r="G22" s="26"/>
      <c r="H22" s="16"/>
      <c r="I22" s="16"/>
    </row>
    <row r="23" spans="1:9" x14ac:dyDescent="0.25">
      <c r="A23" s="28"/>
      <c r="B23" s="28"/>
      <c r="C23" s="2"/>
      <c r="D23" s="4"/>
      <c r="G23" s="26"/>
      <c r="H23" s="16"/>
      <c r="I23" s="16"/>
    </row>
    <row r="24" spans="1:9" x14ac:dyDescent="0.25">
      <c r="A24" s="28"/>
      <c r="B24" s="28"/>
      <c r="C24" s="2"/>
      <c r="D24" s="4"/>
      <c r="G24" s="26"/>
      <c r="H24" s="16"/>
      <c r="I24" s="16"/>
    </row>
    <row r="25" spans="1:9" x14ac:dyDescent="0.25">
      <c r="A25" s="28"/>
      <c r="B25" s="28"/>
      <c r="C25" s="2"/>
      <c r="D25" s="4"/>
      <c r="G25" s="26"/>
      <c r="H25" s="16"/>
      <c r="I25" s="16"/>
    </row>
    <row r="26" spans="1:9" x14ac:dyDescent="0.25">
      <c r="A26" s="28"/>
      <c r="B26" s="28"/>
      <c r="C26" s="2"/>
      <c r="D26" s="4"/>
      <c r="G26" s="26"/>
      <c r="H26" s="16"/>
      <c r="I26" s="16"/>
    </row>
    <row r="27" spans="1:9" x14ac:dyDescent="0.25">
      <c r="A27" s="28"/>
      <c r="B27" s="28"/>
      <c r="C27" s="2"/>
      <c r="D27" s="4"/>
      <c r="G27" s="26"/>
      <c r="H27" s="16"/>
      <c r="I27" s="16"/>
    </row>
    <row r="28" spans="1:9" x14ac:dyDescent="0.25">
      <c r="A28" s="28"/>
      <c r="B28" s="28"/>
      <c r="C28" s="2"/>
      <c r="D28" s="4"/>
      <c r="G28" s="26"/>
      <c r="H28" s="16"/>
      <c r="I28" s="16"/>
    </row>
    <row r="29" spans="1:9" x14ac:dyDescent="0.25">
      <c r="A29" s="28"/>
      <c r="B29" s="28"/>
      <c r="C29" s="2"/>
      <c r="D29" s="4"/>
      <c r="G29" s="26"/>
      <c r="H29" s="16"/>
      <c r="I29" s="16"/>
    </row>
    <row r="30" spans="1:9" x14ac:dyDescent="0.25">
      <c r="A30" s="28"/>
      <c r="B30" s="28"/>
      <c r="C30" s="2"/>
      <c r="D30" s="4"/>
      <c r="G30" s="26"/>
      <c r="H30" s="16"/>
      <c r="I30" s="16"/>
    </row>
    <row r="31" spans="1:9" x14ac:dyDescent="0.25">
      <c r="A31" s="28"/>
      <c r="B31" s="28"/>
      <c r="C31" s="2"/>
      <c r="D31" s="4"/>
      <c r="G31" s="26"/>
      <c r="H31" s="16"/>
      <c r="I31" s="16"/>
    </row>
    <row r="32" spans="1:9" x14ac:dyDescent="0.25">
      <c r="A32" s="28"/>
      <c r="B32" s="28"/>
      <c r="C32" s="2"/>
      <c r="D32" s="4"/>
      <c r="G32" s="26"/>
      <c r="H32" s="16"/>
      <c r="I32" s="16"/>
    </row>
    <row r="33" spans="1:9" x14ac:dyDescent="0.25">
      <c r="A33" s="28"/>
      <c r="B33" s="28"/>
      <c r="C33" s="2"/>
      <c r="D33" s="4"/>
      <c r="G33" s="26"/>
      <c r="H33" s="16"/>
      <c r="I33" s="16"/>
    </row>
    <row r="34" spans="1:9" x14ac:dyDescent="0.25">
      <c r="A34" s="28"/>
      <c r="B34" s="28"/>
      <c r="C34" s="2"/>
      <c r="D34" s="4"/>
      <c r="G34" s="26"/>
      <c r="H34" s="16"/>
      <c r="I34" s="16"/>
    </row>
    <row r="35" spans="1:9" x14ac:dyDescent="0.25">
      <c r="A35" s="28"/>
      <c r="B35" s="28"/>
      <c r="C35" s="2"/>
      <c r="D35" s="4"/>
      <c r="G35" s="26"/>
      <c r="H35" s="16"/>
      <c r="I35" s="16"/>
    </row>
    <row r="36" spans="1:9" x14ac:dyDescent="0.25">
      <c r="A36" s="28"/>
      <c r="B36" s="28"/>
      <c r="C36" s="2"/>
      <c r="D36" s="4"/>
      <c r="G36" s="26"/>
      <c r="H36" s="16"/>
      <c r="I36" s="16"/>
    </row>
    <row r="37" spans="1:9" x14ac:dyDescent="0.25">
      <c r="A37" s="28"/>
      <c r="B37" s="28"/>
      <c r="C37" s="2"/>
      <c r="D37" s="4"/>
      <c r="G37" s="26"/>
      <c r="H37" s="16"/>
      <c r="I37" s="16"/>
    </row>
    <row r="38" spans="1:9" x14ac:dyDescent="0.25">
      <c r="A38" s="28"/>
      <c r="B38" s="28"/>
      <c r="C38" s="2"/>
      <c r="D38" s="4"/>
      <c r="G38" s="26"/>
      <c r="H38" s="16"/>
      <c r="I38" s="16"/>
    </row>
    <row r="39" spans="1:9" x14ac:dyDescent="0.25">
      <c r="A39" s="28"/>
      <c r="B39" s="28"/>
      <c r="C39" s="2"/>
      <c r="D39" s="4"/>
      <c r="G39" s="26"/>
      <c r="H39" s="16"/>
      <c r="I39" s="16"/>
    </row>
    <row r="40" spans="1:9" x14ac:dyDescent="0.25">
      <c r="A40" s="28"/>
      <c r="B40" s="28"/>
      <c r="C40" s="2"/>
      <c r="D40" s="4"/>
      <c r="G40" s="26"/>
      <c r="H40" s="16"/>
      <c r="I40" s="16"/>
    </row>
    <row r="41" spans="1:9" x14ac:dyDescent="0.25">
      <c r="A41" s="28"/>
      <c r="B41" s="28"/>
      <c r="C41" s="2"/>
      <c r="D41" s="4"/>
      <c r="G41" s="26"/>
      <c r="H41" s="16"/>
      <c r="I41" s="16"/>
    </row>
    <row r="42" spans="1:9" x14ac:dyDescent="0.25">
      <c r="A42" s="28"/>
      <c r="B42" s="28"/>
      <c r="C42" s="2"/>
      <c r="D42" s="4"/>
      <c r="G42" s="26"/>
      <c r="H42" s="16"/>
      <c r="I42" s="16"/>
    </row>
    <row r="43" spans="1:9" x14ac:dyDescent="0.25">
      <c r="A43" s="28"/>
      <c r="B43" s="28"/>
      <c r="C43" s="2"/>
      <c r="D43" s="4"/>
      <c r="G43" s="26"/>
      <c r="H43" s="16"/>
      <c r="I43" s="16"/>
    </row>
    <row r="44" spans="1:9" x14ac:dyDescent="0.25">
      <c r="A44" s="28"/>
      <c r="B44" s="28"/>
      <c r="C44" s="2"/>
      <c r="D44" s="4"/>
      <c r="G44" s="26"/>
      <c r="H44" s="16"/>
      <c r="I44" s="16"/>
    </row>
    <row r="45" spans="1:9" x14ac:dyDescent="0.25">
      <c r="A45" s="28"/>
      <c r="B45" s="28"/>
      <c r="C45" s="2"/>
      <c r="D45" s="4"/>
      <c r="G45" s="26"/>
      <c r="H45" s="16"/>
      <c r="I45" s="16"/>
    </row>
    <row r="46" spans="1:9" x14ac:dyDescent="0.25">
      <c r="A46" s="28"/>
      <c r="B46" s="28"/>
      <c r="C46" s="2"/>
      <c r="D46" s="4"/>
      <c r="G46" s="26"/>
      <c r="H46" s="16"/>
      <c r="I46" s="16"/>
    </row>
    <row r="47" spans="1:9" x14ac:dyDescent="0.25">
      <c r="A47" s="28"/>
      <c r="B47" s="28"/>
      <c r="C47" s="2"/>
      <c r="D47" s="4"/>
      <c r="G47" s="26"/>
      <c r="H47" s="16"/>
      <c r="I47" s="16"/>
    </row>
    <row r="48" spans="1:9" x14ac:dyDescent="0.25">
      <c r="A48" s="28"/>
      <c r="B48" s="28"/>
      <c r="C48" s="2"/>
      <c r="D48" s="4"/>
      <c r="G48" s="26"/>
      <c r="H48" s="16"/>
      <c r="I48" s="16"/>
    </row>
    <row r="49" spans="1:9" x14ac:dyDescent="0.25">
      <c r="A49" s="28"/>
      <c r="B49" s="28"/>
      <c r="C49" s="2"/>
      <c r="D49" s="4"/>
      <c r="G49" s="26"/>
      <c r="H49" s="16"/>
      <c r="I49" s="16"/>
    </row>
    <row r="50" spans="1:9" x14ac:dyDescent="0.25">
      <c r="A50" s="28"/>
      <c r="B50" s="28"/>
      <c r="C50" s="2"/>
      <c r="D50" s="4"/>
      <c r="G50" s="26"/>
      <c r="H50" s="16"/>
      <c r="I50" s="16"/>
    </row>
    <row r="51" spans="1:9" x14ac:dyDescent="0.25">
      <c r="A51" s="28"/>
      <c r="B51" s="28"/>
      <c r="C51" s="2"/>
      <c r="D51" s="4"/>
      <c r="G51" s="26"/>
      <c r="H51" s="16"/>
      <c r="I51" s="16"/>
    </row>
    <row r="52" spans="1:9" x14ac:dyDescent="0.25">
      <c r="A52" s="28"/>
      <c r="B52" s="28"/>
      <c r="C52" s="2"/>
      <c r="D52" s="4"/>
      <c r="G52" s="26"/>
      <c r="H52" s="16"/>
      <c r="I52" s="16"/>
    </row>
    <row r="53" spans="1:9" x14ac:dyDescent="0.25">
      <c r="A53" s="28"/>
      <c r="B53" s="28"/>
      <c r="C53" s="2"/>
      <c r="D53" s="4"/>
      <c r="G53" s="26"/>
      <c r="H53" s="16"/>
      <c r="I53" s="16"/>
    </row>
    <row r="54" spans="1:9" x14ac:dyDescent="0.25">
      <c r="A54" s="28"/>
      <c r="B54" s="28"/>
      <c r="C54" s="2"/>
      <c r="D54" s="4"/>
      <c r="G54" s="26"/>
      <c r="H54" s="16"/>
      <c r="I54" s="16"/>
    </row>
    <row r="55" spans="1:9" x14ac:dyDescent="0.25">
      <c r="A55" s="28"/>
      <c r="B55" s="28"/>
      <c r="C55" s="2"/>
      <c r="D55" s="4"/>
      <c r="G55" s="26"/>
      <c r="H55" s="16"/>
      <c r="I55" s="16"/>
    </row>
    <row r="56" spans="1:9" x14ac:dyDescent="0.25">
      <c r="A56" s="28"/>
      <c r="B56" s="28"/>
      <c r="C56" s="2"/>
      <c r="D56" s="4"/>
      <c r="G56" s="26"/>
      <c r="H56" s="16"/>
      <c r="I56" s="16"/>
    </row>
    <row r="57" spans="1:9" x14ac:dyDescent="0.25">
      <c r="A57" s="28"/>
      <c r="B57" s="28"/>
      <c r="C57" s="2"/>
      <c r="D57" s="4"/>
      <c r="G57" s="26"/>
      <c r="H57" s="16"/>
      <c r="I57" s="16"/>
    </row>
    <row r="58" spans="1:9" x14ac:dyDescent="0.25">
      <c r="A58" s="28"/>
      <c r="B58" s="28"/>
      <c r="C58" s="2"/>
      <c r="D58" s="4"/>
      <c r="G58" s="26"/>
      <c r="H58" s="16"/>
      <c r="I58" s="16"/>
    </row>
    <row r="59" spans="1:9" x14ac:dyDescent="0.25">
      <c r="A59" s="28"/>
      <c r="B59" s="28"/>
      <c r="C59" s="2"/>
      <c r="D59" s="4"/>
      <c r="G59" s="26"/>
      <c r="H59" s="16"/>
      <c r="I59" s="16"/>
    </row>
    <row r="60" spans="1:9" x14ac:dyDescent="0.25">
      <c r="A60" s="28"/>
      <c r="B60" s="28"/>
      <c r="C60" s="2"/>
      <c r="D60" s="4"/>
      <c r="G60" s="26"/>
      <c r="H60" s="16"/>
      <c r="I60" s="16"/>
    </row>
    <row r="61" spans="1:9" x14ac:dyDescent="0.25">
      <c r="A61" s="28"/>
      <c r="B61" s="28"/>
      <c r="C61" s="2"/>
      <c r="D61" s="4"/>
      <c r="G61" s="26"/>
      <c r="H61" s="16"/>
      <c r="I61" s="16"/>
    </row>
    <row r="62" spans="1:9" x14ac:dyDescent="0.25">
      <c r="A62" s="28"/>
      <c r="B62" s="28"/>
      <c r="C62" s="2"/>
      <c r="D62" s="4"/>
      <c r="G62" s="26"/>
      <c r="H62" s="16"/>
      <c r="I62" s="16"/>
    </row>
    <row r="63" spans="1:9" x14ac:dyDescent="0.25">
      <c r="H63" s="16"/>
      <c r="I63" s="16"/>
    </row>
    <row r="64" spans="1:9" x14ac:dyDescent="0.25">
      <c r="H64" s="16"/>
      <c r="I64" s="16"/>
    </row>
    <row r="65" spans="8:9" x14ac:dyDescent="0.25">
      <c r="H65" s="16"/>
      <c r="I65" s="16"/>
    </row>
    <row r="66" spans="8:9" x14ac:dyDescent="0.25">
      <c r="H66" s="16"/>
      <c r="I66" s="16"/>
    </row>
    <row r="67" spans="8:9" x14ac:dyDescent="0.25">
      <c r="H67" s="16"/>
      <c r="I67" s="16"/>
    </row>
    <row r="68" spans="8:9" x14ac:dyDescent="0.25">
      <c r="H68" s="16"/>
      <c r="I68" s="16"/>
    </row>
    <row r="69" spans="8:9" x14ac:dyDescent="0.25">
      <c r="H69" s="16"/>
      <c r="I69" s="16"/>
    </row>
    <row r="70" spans="8:9" x14ac:dyDescent="0.25">
      <c r="H70" s="16"/>
      <c r="I70" s="16"/>
    </row>
    <row r="71" spans="8:9" x14ac:dyDescent="0.25">
      <c r="H71" s="16"/>
      <c r="I71" s="16"/>
    </row>
    <row r="72" spans="8:9" x14ac:dyDescent="0.25">
      <c r="H72" s="16"/>
      <c r="I72" s="16"/>
    </row>
    <row r="73" spans="8:9" x14ac:dyDescent="0.25">
      <c r="H73" s="16"/>
      <c r="I73" s="16"/>
    </row>
    <row r="74" spans="8:9" x14ac:dyDescent="0.25">
      <c r="H74" s="16"/>
      <c r="I74" s="16"/>
    </row>
    <row r="75" spans="8:9" x14ac:dyDescent="0.25">
      <c r="H75" s="16"/>
      <c r="I75" s="16"/>
    </row>
    <row r="76" spans="8:9" x14ac:dyDescent="0.25">
      <c r="H76" s="16"/>
      <c r="I76" s="16"/>
    </row>
    <row r="77" spans="8:9" x14ac:dyDescent="0.25">
      <c r="H77" s="16"/>
      <c r="I77" s="16"/>
    </row>
    <row r="78" spans="8:9" x14ac:dyDescent="0.25">
      <c r="H78" s="16"/>
      <c r="I78" s="16"/>
    </row>
    <row r="79" spans="8:9" x14ac:dyDescent="0.25">
      <c r="H79" s="16"/>
      <c r="I79" s="16"/>
    </row>
    <row r="80" spans="8:9" x14ac:dyDescent="0.25">
      <c r="H80" s="16"/>
      <c r="I80" s="16"/>
    </row>
    <row r="81" spans="8:9" x14ac:dyDescent="0.25">
      <c r="H81" s="16"/>
      <c r="I81" s="16"/>
    </row>
    <row r="82" spans="8:9" x14ac:dyDescent="0.25">
      <c r="H82" s="16"/>
      <c r="I82" s="16"/>
    </row>
    <row r="83" spans="8:9" x14ac:dyDescent="0.25">
      <c r="H83" s="16"/>
      <c r="I83" s="16"/>
    </row>
    <row r="84" spans="8:9" x14ac:dyDescent="0.25">
      <c r="H84" s="16"/>
      <c r="I84" s="16"/>
    </row>
    <row r="85" spans="8:9" x14ac:dyDescent="0.25">
      <c r="H85" s="16"/>
      <c r="I85" s="16"/>
    </row>
    <row r="86" spans="8:9" x14ac:dyDescent="0.25">
      <c r="H86" s="16"/>
      <c r="I86" s="16"/>
    </row>
    <row r="87" spans="8:9" x14ac:dyDescent="0.25">
      <c r="H87" s="16"/>
      <c r="I87" s="16"/>
    </row>
    <row r="88" spans="8:9" x14ac:dyDescent="0.25">
      <c r="H88" s="16"/>
      <c r="I88" s="16"/>
    </row>
    <row r="89" spans="8:9" x14ac:dyDescent="0.25">
      <c r="H89" s="16"/>
      <c r="I89" s="16"/>
    </row>
    <row r="90" spans="8:9" x14ac:dyDescent="0.25">
      <c r="H90" s="16"/>
      <c r="I90" s="16"/>
    </row>
    <row r="91" spans="8:9" x14ac:dyDescent="0.25">
      <c r="H91" s="16"/>
      <c r="I91" s="16"/>
    </row>
    <row r="92" spans="8:9" x14ac:dyDescent="0.25">
      <c r="H92" s="16"/>
      <c r="I92" s="16"/>
    </row>
    <row r="93" spans="8:9" x14ac:dyDescent="0.25">
      <c r="H93" s="16"/>
      <c r="I93" s="16"/>
    </row>
    <row r="94" spans="8:9" x14ac:dyDescent="0.25">
      <c r="H94" s="16"/>
      <c r="I94" s="16"/>
    </row>
    <row r="95" spans="8:9" x14ac:dyDescent="0.25">
      <c r="H95" s="16"/>
      <c r="I95" s="16"/>
    </row>
    <row r="96" spans="8:9" x14ac:dyDescent="0.25">
      <c r="H96" s="16"/>
      <c r="I96" s="16"/>
    </row>
    <row r="97" spans="8:9" x14ac:dyDescent="0.25">
      <c r="H97" s="16"/>
      <c r="I97" s="16"/>
    </row>
    <row r="98" spans="8:9" x14ac:dyDescent="0.25">
      <c r="H98" s="16"/>
      <c r="I98" s="16"/>
    </row>
    <row r="99" spans="8:9" x14ac:dyDescent="0.25">
      <c r="H99" s="16"/>
      <c r="I99" s="16"/>
    </row>
    <row r="100" spans="8:9" x14ac:dyDescent="0.25">
      <c r="H100" s="16"/>
      <c r="I100" s="16"/>
    </row>
    <row r="101" spans="8:9" x14ac:dyDescent="0.25">
      <c r="H101" s="16"/>
      <c r="I101" s="16"/>
    </row>
    <row r="102" spans="8:9" x14ac:dyDescent="0.25">
      <c r="H102" s="16"/>
      <c r="I102" s="16"/>
    </row>
    <row r="103" spans="8:9" x14ac:dyDescent="0.25">
      <c r="H103" s="16"/>
      <c r="I103" s="16"/>
    </row>
    <row r="104" spans="8:9" x14ac:dyDescent="0.25">
      <c r="H104" s="16"/>
      <c r="I104" s="16"/>
    </row>
    <row r="105" spans="8:9" x14ac:dyDescent="0.25">
      <c r="H105" s="16"/>
      <c r="I105" s="16"/>
    </row>
    <row r="106" spans="8:9" x14ac:dyDescent="0.25">
      <c r="H106" s="16"/>
      <c r="I106" s="16"/>
    </row>
    <row r="107" spans="8:9" x14ac:dyDescent="0.25">
      <c r="H107" s="16"/>
      <c r="I107" s="16"/>
    </row>
    <row r="108" spans="8:9" x14ac:dyDescent="0.25">
      <c r="H108" s="16"/>
      <c r="I108" s="16"/>
    </row>
    <row r="109" spans="8:9" x14ac:dyDescent="0.25">
      <c r="H109" s="16"/>
      <c r="I109" s="16"/>
    </row>
    <row r="110" spans="8:9" x14ac:dyDescent="0.25">
      <c r="H110" s="16"/>
      <c r="I110" s="16"/>
    </row>
    <row r="111" spans="8:9" x14ac:dyDescent="0.25">
      <c r="H111" s="16"/>
      <c r="I111" s="16"/>
    </row>
    <row r="112" spans="8:9" x14ac:dyDescent="0.25">
      <c r="H112" s="16"/>
      <c r="I112" s="16"/>
    </row>
    <row r="113" spans="8:9" x14ac:dyDescent="0.25">
      <c r="H113" s="16"/>
      <c r="I113" s="16"/>
    </row>
    <row r="114" spans="8:9" x14ac:dyDescent="0.25">
      <c r="H114" s="16"/>
      <c r="I114" s="16"/>
    </row>
    <row r="115" spans="8:9" x14ac:dyDescent="0.25">
      <c r="H115" s="16"/>
      <c r="I115" s="16"/>
    </row>
    <row r="116" spans="8:9" x14ac:dyDescent="0.25">
      <c r="H116" s="16"/>
      <c r="I116" s="16"/>
    </row>
    <row r="117" spans="8:9" x14ac:dyDescent="0.25">
      <c r="H117" s="16"/>
      <c r="I117" s="16"/>
    </row>
    <row r="118" spans="8:9" x14ac:dyDescent="0.25">
      <c r="H118" s="16"/>
      <c r="I118" s="16"/>
    </row>
    <row r="119" spans="8:9" x14ac:dyDescent="0.25">
      <c r="H119" s="16"/>
      <c r="I119" s="16"/>
    </row>
    <row r="120" spans="8:9" x14ac:dyDescent="0.25">
      <c r="H120" s="16"/>
      <c r="I120" s="16"/>
    </row>
    <row r="121" spans="8:9" x14ac:dyDescent="0.25">
      <c r="H121" s="16"/>
      <c r="I121" s="16"/>
    </row>
    <row r="122" spans="8:9" x14ac:dyDescent="0.25">
      <c r="H122" s="16"/>
      <c r="I122" s="16"/>
    </row>
    <row r="123" spans="8:9" x14ac:dyDescent="0.25">
      <c r="H123" s="16"/>
      <c r="I123" s="16"/>
    </row>
    <row r="124" spans="8:9" x14ac:dyDescent="0.25">
      <c r="H124" s="16"/>
      <c r="I124" s="16"/>
    </row>
    <row r="125" spans="8:9" x14ac:dyDescent="0.25">
      <c r="H125" s="16"/>
      <c r="I125" s="16"/>
    </row>
  </sheetData>
  <conditionalFormatting sqref="A3:I5">
    <cfRule type="expression" dxfId="10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5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28.7109375" style="24" customWidth="1"/>
    <col min="4" max="4" width="13" style="2" customWidth="1"/>
    <col min="5" max="5" width="29" style="4" bestFit="1" customWidth="1"/>
    <col min="6" max="6" width="23" style="4" bestFit="1" customWidth="1"/>
    <col min="7" max="7" width="19.5703125" style="7" customWidth="1"/>
    <col min="8" max="9" width="17.7109375" style="6" customWidth="1"/>
    <col min="11" max="11" width="15.140625" customWidth="1"/>
    <col min="13" max="14" width="10.140625" bestFit="1" customWidth="1"/>
  </cols>
  <sheetData>
    <row r="1" spans="1:9" x14ac:dyDescent="0.25">
      <c r="A1" s="8" t="s">
        <v>18</v>
      </c>
      <c r="B1" t="s">
        <v>31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ht="15" customHeight="1" x14ac:dyDescent="0.25">
      <c r="A4" s="28">
        <v>43467</v>
      </c>
      <c r="B4" s="28">
        <f>Чита[[#This Row],[дата передачи]]+5</f>
        <v>43472</v>
      </c>
      <c r="C4" s="2" t="s">
        <v>28</v>
      </c>
      <c r="D4" s="27" t="s">
        <v>29</v>
      </c>
      <c r="E4" s="27" t="s">
        <v>27</v>
      </c>
      <c r="F4" s="4" t="s">
        <v>24</v>
      </c>
      <c r="G4" s="26">
        <v>43473</v>
      </c>
      <c r="H4" s="16">
        <v>30</v>
      </c>
      <c r="I4" s="5"/>
    </row>
    <row r="5" spans="1:9" ht="15" customHeight="1" x14ac:dyDescent="0.25">
      <c r="A5" s="28">
        <v>43467</v>
      </c>
      <c r="B5" s="28">
        <f>Чита[[#This Row],[дата передачи]]+5</f>
        <v>43472</v>
      </c>
      <c r="C5" s="2" t="s">
        <v>28</v>
      </c>
      <c r="D5" s="27" t="s">
        <v>29</v>
      </c>
      <c r="E5" s="27" t="s">
        <v>27</v>
      </c>
      <c r="F5" s="4" t="s">
        <v>24</v>
      </c>
      <c r="G5" s="26">
        <v>43474</v>
      </c>
      <c r="H5" s="16">
        <v>22</v>
      </c>
      <c r="I5" s="5"/>
    </row>
  </sheetData>
  <conditionalFormatting sqref="A3:I5">
    <cfRule type="expression" dxfId="9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I6"/>
  <sheetViews>
    <sheetView zoomScaleNormal="100" workbookViewId="0">
      <selection activeCell="F25" sqref="F25"/>
    </sheetView>
  </sheetViews>
  <sheetFormatPr defaultRowHeight="15" x14ac:dyDescent="0.25"/>
  <cols>
    <col min="1" max="1" width="16.5703125" style="9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8.5703125" style="4" bestFit="1" customWidth="1"/>
    <col min="6" max="6" width="24.85546875" style="4" bestFit="1" customWidth="1"/>
    <col min="7" max="7" width="19.5703125" style="7" customWidth="1"/>
    <col min="8" max="9" width="17.7109375" style="6" customWidth="1"/>
    <col min="10" max="12" width="10.140625" bestFit="1" customWidth="1"/>
  </cols>
  <sheetData>
    <row r="1" spans="1:9" x14ac:dyDescent="0.25">
      <c r="A1" s="8" t="s">
        <v>18</v>
      </c>
      <c r="B1" t="s">
        <v>41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43467</v>
      </c>
      <c r="B4" s="28">
        <f>Красноярск[[#This Row],[дата передачи]]+3</f>
        <v>43470</v>
      </c>
      <c r="C4" s="2" t="s">
        <v>33</v>
      </c>
      <c r="D4" s="27" t="s">
        <v>35</v>
      </c>
      <c r="E4" s="27" t="s">
        <v>32</v>
      </c>
      <c r="F4" s="4" t="s">
        <v>36</v>
      </c>
      <c r="G4" s="26">
        <v>43470</v>
      </c>
      <c r="H4" s="16">
        <v>18</v>
      </c>
      <c r="I4" s="5"/>
    </row>
    <row r="5" spans="1:9" ht="15" customHeight="1" x14ac:dyDescent="0.25">
      <c r="A5" s="28">
        <v>43467</v>
      </c>
      <c r="B5" s="28">
        <f>Красноярск[[#This Row],[дата передачи]]+3</f>
        <v>43470</v>
      </c>
      <c r="C5" s="2" t="s">
        <v>33</v>
      </c>
      <c r="D5" s="27" t="s">
        <v>34</v>
      </c>
      <c r="E5" s="27" t="s">
        <v>32</v>
      </c>
      <c r="F5" s="4" t="s">
        <v>24</v>
      </c>
      <c r="G5" s="26">
        <v>43471</v>
      </c>
      <c r="H5" s="16">
        <v>52</v>
      </c>
      <c r="I5" s="5">
        <v>45</v>
      </c>
    </row>
    <row r="6" spans="1:9" x14ac:dyDescent="0.25">
      <c r="A6" s="28">
        <v>43467</v>
      </c>
      <c r="B6" s="28">
        <f>Красноярск[[#This Row],[дата передачи]]+3</f>
        <v>43470</v>
      </c>
      <c r="C6" s="2" t="s">
        <v>33</v>
      </c>
      <c r="D6" s="27" t="s">
        <v>35</v>
      </c>
      <c r="E6" s="27" t="s">
        <v>32</v>
      </c>
      <c r="F6" s="4" t="s">
        <v>36</v>
      </c>
      <c r="G6" s="26">
        <v>43472</v>
      </c>
      <c r="H6" s="16">
        <v>18</v>
      </c>
      <c r="I6" s="5"/>
    </row>
  </sheetData>
  <conditionalFormatting sqref="A3:I6">
    <cfRule type="expression" dxfId="8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I11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8.5703125" style="4" bestFit="1" customWidth="1"/>
    <col min="6" max="6" width="24.85546875" style="4" bestFit="1" customWidth="1"/>
    <col min="7" max="7" width="19.5703125" style="7" customWidth="1"/>
    <col min="8" max="9" width="17.7109375" style="6" customWidth="1"/>
    <col min="11" max="12" width="10.140625" bestFit="1" customWidth="1"/>
  </cols>
  <sheetData>
    <row r="1" spans="1:9" x14ac:dyDescent="0.25">
      <c r="A1" s="8" t="s">
        <v>18</v>
      </c>
      <c r="B1" t="s">
        <v>44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43467</v>
      </c>
      <c r="B4" s="28">
        <f>Абакан[[#This Row],[дата передачи]]+4</f>
        <v>43471</v>
      </c>
      <c r="C4" s="2" t="s">
        <v>45</v>
      </c>
      <c r="D4" s="27" t="s">
        <v>42</v>
      </c>
      <c r="E4" s="27" t="s">
        <v>43</v>
      </c>
      <c r="F4" s="4" t="s">
        <v>24</v>
      </c>
      <c r="G4" s="26">
        <v>43472</v>
      </c>
      <c r="H4" s="16">
        <v>34</v>
      </c>
      <c r="I4" s="5"/>
    </row>
    <row r="5" spans="1:9" x14ac:dyDescent="0.25">
      <c r="A5" s="28">
        <v>43467</v>
      </c>
      <c r="B5" s="28">
        <f>Абакан[[#This Row],[дата передачи]]+4</f>
        <v>43471</v>
      </c>
      <c r="C5" s="2" t="s">
        <v>45</v>
      </c>
      <c r="D5" s="27" t="s">
        <v>42</v>
      </c>
      <c r="E5" s="27" t="s">
        <v>43</v>
      </c>
      <c r="F5" s="4" t="s">
        <v>24</v>
      </c>
      <c r="G5" s="26">
        <v>43473</v>
      </c>
      <c r="H5" s="16">
        <v>34</v>
      </c>
      <c r="I5" s="5"/>
    </row>
    <row r="6" spans="1:9" x14ac:dyDescent="0.25">
      <c r="A6" s="28">
        <v>43467</v>
      </c>
      <c r="B6" s="28">
        <f>Абакан[[#This Row],[дата передачи]]+4</f>
        <v>43471</v>
      </c>
      <c r="C6" s="2" t="s">
        <v>45</v>
      </c>
      <c r="D6" s="27" t="s">
        <v>42</v>
      </c>
      <c r="E6" s="27" t="s">
        <v>43</v>
      </c>
      <c r="F6" s="4" t="s">
        <v>24</v>
      </c>
      <c r="G6" s="26">
        <v>43474</v>
      </c>
      <c r="H6" s="16">
        <v>34</v>
      </c>
      <c r="I6" s="5"/>
    </row>
    <row r="7" spans="1:9" x14ac:dyDescent="0.25">
      <c r="I7"/>
    </row>
    <row r="8" spans="1:9" x14ac:dyDescent="0.25">
      <c r="I8"/>
    </row>
    <row r="9" spans="1:9" x14ac:dyDescent="0.25">
      <c r="I9"/>
    </row>
    <row r="10" spans="1:9" x14ac:dyDescent="0.25">
      <c r="I10"/>
    </row>
    <row r="11" spans="1:9" x14ac:dyDescent="0.25">
      <c r="I11"/>
    </row>
  </sheetData>
  <conditionalFormatting sqref="A3:I6">
    <cfRule type="expression" dxfId="7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I6"/>
  <sheetViews>
    <sheetView zoomScaleNormal="100" workbookViewId="0">
      <selection activeCell="F25" sqref="F25"/>
    </sheetView>
  </sheetViews>
  <sheetFormatPr defaultRowHeight="15" x14ac:dyDescent="0.25"/>
  <cols>
    <col min="1" max="1" width="17" style="28" bestFit="1" customWidth="1"/>
    <col min="2" max="2" width="17.85546875" style="31" bestFit="1" customWidth="1"/>
    <col min="3" max="3" width="31.42578125" style="2" customWidth="1"/>
    <col min="4" max="4" width="12.5703125" style="2" bestFit="1" customWidth="1"/>
    <col min="5" max="5" width="19" style="4" bestFit="1" customWidth="1"/>
    <col min="6" max="6" width="24.85546875" style="3" bestFit="1" customWidth="1"/>
    <col min="7" max="7" width="19.5703125" style="7" customWidth="1"/>
    <col min="8" max="9" width="17.7109375" style="6" customWidth="1"/>
    <col min="11" max="13" width="10.140625" bestFit="1" customWidth="1"/>
  </cols>
  <sheetData>
    <row r="1" spans="1:9" x14ac:dyDescent="0.25">
      <c r="A1" s="30" t="s">
        <v>18</v>
      </c>
      <c r="B1" s="27" t="s">
        <v>49</v>
      </c>
      <c r="C1"/>
      <c r="D1"/>
      <c r="E1"/>
      <c r="F1"/>
      <c r="G1" s="15"/>
      <c r="H1" s="35"/>
      <c r="I1" s="35"/>
    </row>
    <row r="2" spans="1:9" x14ac:dyDescent="0.25">
      <c r="A2" s="30"/>
      <c r="B2" s="27"/>
      <c r="C2"/>
      <c r="D2"/>
      <c r="E2"/>
      <c r="F2"/>
      <c r="G2" s="15"/>
      <c r="H2" s="35"/>
      <c r="I2" s="35"/>
    </row>
    <row r="3" spans="1:9" x14ac:dyDescent="0.25">
      <c r="A3" s="30" t="s">
        <v>9</v>
      </c>
      <c r="B3" s="27" t="s">
        <v>0</v>
      </c>
      <c r="C3" t="s">
        <v>10</v>
      </c>
      <c r="D3" t="s">
        <v>80</v>
      </c>
      <c r="E3" t="s">
        <v>17</v>
      </c>
      <c r="F3" t="s">
        <v>7</v>
      </c>
      <c r="G3" s="15" t="s">
        <v>1</v>
      </c>
      <c r="H3" s="16" t="s">
        <v>2</v>
      </c>
      <c r="I3" s="16" t="s">
        <v>3</v>
      </c>
    </row>
    <row r="4" spans="1:9" x14ac:dyDescent="0.25">
      <c r="A4" s="28">
        <v>43468</v>
      </c>
      <c r="B4" s="28">
        <f>Ульяновск[[#This Row],[дата передачи]]+1</f>
        <v>43469</v>
      </c>
      <c r="C4" s="2" t="s">
        <v>81</v>
      </c>
      <c r="D4" t="s">
        <v>47</v>
      </c>
      <c r="E4" t="s">
        <v>48</v>
      </c>
      <c r="F4" t="s">
        <v>14</v>
      </c>
      <c r="G4" s="7">
        <v>43470</v>
      </c>
      <c r="H4" s="16">
        <v>16</v>
      </c>
      <c r="I4" s="5"/>
    </row>
    <row r="5" spans="1:9" x14ac:dyDescent="0.25">
      <c r="A5" s="28">
        <v>43468</v>
      </c>
      <c r="B5" s="28">
        <f>Ульяновск[[#This Row],[дата передачи]]+1</f>
        <v>43469</v>
      </c>
      <c r="C5" s="2" t="s">
        <v>81</v>
      </c>
      <c r="D5" t="s">
        <v>47</v>
      </c>
      <c r="E5" t="s">
        <v>48</v>
      </c>
      <c r="F5" t="s">
        <v>14</v>
      </c>
      <c r="G5" s="7">
        <v>43472</v>
      </c>
      <c r="H5" s="16">
        <v>14</v>
      </c>
      <c r="I5" s="5"/>
    </row>
    <row r="6" spans="1:9" x14ac:dyDescent="0.25">
      <c r="A6" s="28">
        <v>43468</v>
      </c>
      <c r="B6" s="28">
        <f>Ульяновск[[#This Row],[дата передачи]]+1</f>
        <v>43469</v>
      </c>
      <c r="C6" s="2" t="s">
        <v>81</v>
      </c>
      <c r="D6" t="s">
        <v>47</v>
      </c>
      <c r="E6" t="s">
        <v>48</v>
      </c>
      <c r="F6" t="s">
        <v>14</v>
      </c>
      <c r="G6" s="7">
        <v>43474</v>
      </c>
      <c r="H6" s="16">
        <v>14</v>
      </c>
      <c r="I6" s="5"/>
    </row>
  </sheetData>
  <conditionalFormatting sqref="A3:I6">
    <cfRule type="expression" dxfId="6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I6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9" style="4" bestFit="1" customWidth="1"/>
    <col min="6" max="6" width="24" style="4" customWidth="1"/>
    <col min="7" max="7" width="19.5703125" style="7" customWidth="1"/>
    <col min="8" max="9" width="17.7109375" style="6" customWidth="1"/>
    <col min="10" max="10" width="10.140625" bestFit="1" customWidth="1"/>
    <col min="11" max="11" width="9.85546875" customWidth="1"/>
    <col min="12" max="12" width="10.140625" bestFit="1" customWidth="1"/>
  </cols>
  <sheetData>
    <row r="1" spans="1:9" x14ac:dyDescent="0.25">
      <c r="A1" s="8" t="s">
        <v>18</v>
      </c>
      <c r="B1" t="s">
        <v>50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ht="15" customHeight="1" x14ac:dyDescent="0.25">
      <c r="A4" s="28">
        <v>43467</v>
      </c>
      <c r="B4" s="28">
        <f>Уфа[[#This Row],[дата передачи]]+1</f>
        <v>43468</v>
      </c>
      <c r="C4" s="4" t="s">
        <v>61</v>
      </c>
      <c r="D4" s="27" t="s">
        <v>51</v>
      </c>
      <c r="E4" s="27" t="s">
        <v>52</v>
      </c>
      <c r="F4" s="4" t="s">
        <v>53</v>
      </c>
      <c r="G4" s="26">
        <v>43469</v>
      </c>
      <c r="H4" s="16"/>
      <c r="I4" s="5"/>
    </row>
    <row r="5" spans="1:9" ht="15" customHeight="1" x14ac:dyDescent="0.25">
      <c r="A5" s="28">
        <v>43467</v>
      </c>
      <c r="B5" s="28">
        <f>Уфа[[#This Row],[дата передачи]]+1</f>
        <v>43468</v>
      </c>
      <c r="C5" s="4" t="s">
        <v>61</v>
      </c>
      <c r="D5" s="27" t="s">
        <v>54</v>
      </c>
      <c r="E5" s="27" t="s">
        <v>52</v>
      </c>
      <c r="F5" s="4" t="s">
        <v>55</v>
      </c>
      <c r="G5" s="26">
        <v>43469</v>
      </c>
      <c r="H5" s="16"/>
      <c r="I5" s="5"/>
    </row>
    <row r="6" spans="1:9" ht="15" customHeight="1" x14ac:dyDescent="0.25">
      <c r="A6" s="28">
        <v>43467</v>
      </c>
      <c r="B6" s="28">
        <f>Уфа[[#This Row],[дата передачи]]+1</f>
        <v>43468</v>
      </c>
      <c r="C6" s="4" t="s">
        <v>61</v>
      </c>
      <c r="D6" s="27" t="s">
        <v>51</v>
      </c>
      <c r="E6" s="27" t="s">
        <v>52</v>
      </c>
      <c r="F6" s="4" t="s">
        <v>53</v>
      </c>
      <c r="G6" s="26">
        <v>43471</v>
      </c>
      <c r="H6" s="16"/>
      <c r="I6" s="5"/>
    </row>
  </sheetData>
  <conditionalFormatting sqref="A3:I6">
    <cfRule type="expression" dxfId="5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I5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9" style="4" bestFit="1" customWidth="1"/>
    <col min="6" max="6" width="24.85546875" style="4" bestFit="1" customWidth="1"/>
    <col min="7" max="7" width="19.5703125" style="7" customWidth="1"/>
    <col min="8" max="9" width="17.7109375" style="6" customWidth="1"/>
    <col min="11" max="11" width="20.28515625" bestFit="1" customWidth="1"/>
    <col min="12" max="12" width="10.140625" bestFit="1" customWidth="1"/>
  </cols>
  <sheetData>
    <row r="1" spans="1:9" x14ac:dyDescent="0.25">
      <c r="A1" s="8" t="s">
        <v>18</v>
      </c>
      <c r="B1" t="s">
        <v>62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x14ac:dyDescent="0.25">
      <c r="A4" s="28">
        <v>43467</v>
      </c>
      <c r="B4" s="28">
        <f>Пенза[[#This Row],[дата передачи]]+1</f>
        <v>43468</v>
      </c>
      <c r="C4" s="2" t="s">
        <v>65</v>
      </c>
      <c r="D4" s="27" t="s">
        <v>64</v>
      </c>
      <c r="E4" s="27" t="s">
        <v>60</v>
      </c>
      <c r="F4" s="4" t="s">
        <v>63</v>
      </c>
      <c r="G4" s="26">
        <v>43469</v>
      </c>
      <c r="H4" s="16">
        <v>11</v>
      </c>
      <c r="I4" s="5"/>
    </row>
    <row r="5" spans="1:9" x14ac:dyDescent="0.25">
      <c r="A5" s="28">
        <v>43467</v>
      </c>
      <c r="B5" s="28">
        <f>Пенза[[#This Row],[дата передачи]]+1</f>
        <v>43468</v>
      </c>
      <c r="C5" s="2" t="s">
        <v>65</v>
      </c>
      <c r="D5" s="27" t="s">
        <v>64</v>
      </c>
      <c r="E5" s="27" t="s">
        <v>60</v>
      </c>
      <c r="F5" s="4" t="s">
        <v>63</v>
      </c>
      <c r="G5" s="26">
        <v>43471</v>
      </c>
      <c r="H5" s="16">
        <v>15</v>
      </c>
      <c r="I5" s="5"/>
    </row>
  </sheetData>
  <conditionalFormatting sqref="A3:I5">
    <cfRule type="expression" dxfId="4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I349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9" style="4" bestFit="1" customWidth="1"/>
    <col min="6" max="6" width="24.140625" style="4" customWidth="1"/>
    <col min="7" max="7" width="19.5703125" style="7" customWidth="1"/>
    <col min="8" max="9" width="17.42578125" style="2" customWidth="1"/>
    <col min="11" max="11" width="9.85546875" customWidth="1"/>
    <col min="13" max="13" width="10.140625" bestFit="1" customWidth="1"/>
  </cols>
  <sheetData>
    <row r="1" spans="1:9" x14ac:dyDescent="0.25">
      <c r="A1" s="8" t="s">
        <v>18</v>
      </c>
      <c r="B1" t="s">
        <v>94</v>
      </c>
      <c r="C1" s="23"/>
      <c r="D1"/>
      <c r="E1"/>
      <c r="G1" s="15"/>
      <c r="H1"/>
      <c r="I1"/>
    </row>
    <row r="2" spans="1:9" x14ac:dyDescent="0.25">
      <c r="A2" s="8"/>
      <c r="B2"/>
      <c r="C2" s="23"/>
      <c r="D2"/>
      <c r="E2"/>
      <c r="G2" s="15"/>
      <c r="H2"/>
      <c r="I2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33" t="s">
        <v>3</v>
      </c>
      <c r="I3" s="21" t="s">
        <v>2</v>
      </c>
    </row>
    <row r="4" spans="1:9" x14ac:dyDescent="0.25">
      <c r="A4" s="28">
        <v>43710</v>
      </c>
      <c r="B4" s="28">
        <f>Самара[[#This Row],[дата передачи]]+1</f>
        <v>43711</v>
      </c>
      <c r="C4" s="2" t="s">
        <v>82</v>
      </c>
      <c r="D4" s="27" t="s">
        <v>84</v>
      </c>
      <c r="E4" s="27" t="s">
        <v>83</v>
      </c>
      <c r="F4" s="4" t="s">
        <v>56</v>
      </c>
      <c r="G4" s="26">
        <v>43711</v>
      </c>
      <c r="H4" s="5">
        <v>50</v>
      </c>
      <c r="I4" s="21">
        <v>19</v>
      </c>
    </row>
    <row r="5" spans="1:9" x14ac:dyDescent="0.25">
      <c r="A5" s="28">
        <v>43711</v>
      </c>
      <c r="B5" s="28">
        <f>Самара[[#This Row],[дата передачи]]+1</f>
        <v>43712</v>
      </c>
      <c r="C5" s="2" t="s">
        <v>82</v>
      </c>
      <c r="D5" s="27" t="s">
        <v>84</v>
      </c>
      <c r="E5" s="27" t="s">
        <v>83</v>
      </c>
      <c r="F5" s="4" t="s">
        <v>56</v>
      </c>
      <c r="G5" s="26">
        <v>43712</v>
      </c>
      <c r="H5" s="5">
        <v>40</v>
      </c>
      <c r="I5" s="21">
        <v>19</v>
      </c>
    </row>
    <row r="6" spans="1:9" x14ac:dyDescent="0.25">
      <c r="G6" s="26"/>
      <c r="H6" s="21"/>
      <c r="I6" s="21"/>
    </row>
    <row r="7" spans="1:9" x14ac:dyDescent="0.25">
      <c r="G7" s="26"/>
      <c r="H7" s="21"/>
      <c r="I7" s="21"/>
    </row>
    <row r="8" spans="1:9" x14ac:dyDescent="0.25">
      <c r="G8" s="27"/>
      <c r="H8" s="33"/>
      <c r="I8" s="21"/>
    </row>
    <row r="9" spans="1:9" x14ac:dyDescent="0.25">
      <c r="A9" s="27"/>
      <c r="B9" s="33"/>
      <c r="C9" s="21"/>
      <c r="D9"/>
      <c r="E9"/>
      <c r="F9"/>
      <c r="G9"/>
      <c r="H9"/>
      <c r="I9"/>
    </row>
    <row r="10" spans="1:9" x14ac:dyDescent="0.25">
      <c r="A10" s="27"/>
      <c r="B10" s="33"/>
      <c r="C10" s="21"/>
      <c r="D10"/>
      <c r="E10"/>
      <c r="F10"/>
      <c r="G10"/>
      <c r="H10"/>
      <c r="I10"/>
    </row>
    <row r="11" spans="1:9" x14ac:dyDescent="0.25">
      <c r="A11" s="27"/>
      <c r="B11" s="33"/>
      <c r="C11" s="21"/>
      <c r="D11"/>
      <c r="E11"/>
      <c r="F11"/>
      <c r="G11"/>
      <c r="H11"/>
      <c r="I11"/>
    </row>
    <row r="12" spans="1:9" x14ac:dyDescent="0.25">
      <c r="A12" s="27"/>
      <c r="B12" s="33"/>
      <c r="C12" s="21"/>
      <c r="D12"/>
      <c r="E12"/>
      <c r="F12"/>
      <c r="G12"/>
      <c r="H12"/>
      <c r="I12"/>
    </row>
    <row r="13" spans="1:9" x14ac:dyDescent="0.25">
      <c r="A13" s="26"/>
      <c r="B13" s="21"/>
      <c r="C13" s="21"/>
      <c r="D13"/>
      <c r="E13"/>
      <c r="F13"/>
      <c r="G13"/>
      <c r="H13"/>
      <c r="I13"/>
    </row>
    <row r="14" spans="1:9" x14ac:dyDescent="0.25">
      <c r="A14" s="26"/>
      <c r="B14" s="21"/>
      <c r="C14" s="21"/>
      <c r="D14"/>
      <c r="E14"/>
      <c r="F14"/>
      <c r="G14"/>
      <c r="H14"/>
      <c r="I14"/>
    </row>
    <row r="15" spans="1:9" x14ac:dyDescent="0.25">
      <c r="A15" s="26"/>
      <c r="B15" s="21"/>
      <c r="C15" s="21"/>
      <c r="D15"/>
      <c r="E15"/>
      <c r="F15"/>
      <c r="G15"/>
      <c r="H15"/>
      <c r="I15"/>
    </row>
    <row r="16" spans="1:9" x14ac:dyDescent="0.25">
      <c r="A16" s="26"/>
      <c r="B16" s="21"/>
      <c r="C16" s="21"/>
      <c r="D16"/>
      <c r="E16"/>
      <c r="F16"/>
      <c r="G16"/>
      <c r="H16"/>
      <c r="I16"/>
    </row>
    <row r="17" spans="1:9" x14ac:dyDescent="0.25">
      <c r="A17" s="26"/>
      <c r="B17" s="21"/>
      <c r="C17" s="21"/>
      <c r="D17"/>
      <c r="E17"/>
      <c r="F17"/>
      <c r="G17"/>
      <c r="H17"/>
      <c r="I17"/>
    </row>
    <row r="18" spans="1:9" x14ac:dyDescent="0.25">
      <c r="A18" s="28"/>
      <c r="B18" s="28"/>
      <c r="C18" s="2"/>
      <c r="D18" s="4"/>
      <c r="G18" s="26"/>
      <c r="H18" s="21"/>
      <c r="I18" s="21"/>
    </row>
    <row r="19" spans="1:9" x14ac:dyDescent="0.25">
      <c r="A19" s="28"/>
      <c r="B19" s="28"/>
      <c r="C19" s="2"/>
      <c r="D19" s="4"/>
      <c r="G19" s="26"/>
      <c r="H19" s="21"/>
      <c r="I19" s="21"/>
    </row>
    <row r="20" spans="1:9" x14ac:dyDescent="0.25">
      <c r="A20" s="28"/>
      <c r="B20" s="28"/>
      <c r="C20" s="2"/>
      <c r="D20" s="4"/>
      <c r="G20" s="26"/>
      <c r="H20" s="21"/>
      <c r="I20" s="21"/>
    </row>
    <row r="21" spans="1:9" x14ac:dyDescent="0.25">
      <c r="A21" s="28"/>
      <c r="B21" s="28"/>
      <c r="C21" s="2"/>
      <c r="D21" s="4"/>
      <c r="G21" s="26"/>
      <c r="H21" s="21"/>
      <c r="I21" s="21"/>
    </row>
    <row r="22" spans="1:9" x14ac:dyDescent="0.25">
      <c r="A22" s="28"/>
      <c r="B22" s="28"/>
      <c r="C22" s="2"/>
      <c r="D22" s="4"/>
      <c r="G22" s="26"/>
      <c r="H22" s="21"/>
      <c r="I22" s="21"/>
    </row>
    <row r="23" spans="1:9" x14ac:dyDescent="0.25">
      <c r="A23" s="28"/>
      <c r="B23" s="28"/>
      <c r="C23" s="2"/>
      <c r="D23" s="4"/>
      <c r="G23" s="26"/>
      <c r="H23" s="21"/>
      <c r="I23" s="21"/>
    </row>
    <row r="24" spans="1:9" x14ac:dyDescent="0.25">
      <c r="A24" s="28"/>
      <c r="B24" s="28"/>
      <c r="C24" s="2"/>
      <c r="D24" s="4"/>
      <c r="G24" s="26"/>
      <c r="H24" s="21"/>
      <c r="I24" s="21"/>
    </row>
    <row r="25" spans="1:9" x14ac:dyDescent="0.25">
      <c r="A25" s="28"/>
      <c r="B25" s="28"/>
      <c r="C25" s="2"/>
      <c r="D25" s="4"/>
      <c r="G25" s="26"/>
      <c r="H25" s="21"/>
      <c r="I25" s="21"/>
    </row>
    <row r="26" spans="1:9" x14ac:dyDescent="0.25">
      <c r="A26" s="28"/>
      <c r="B26" s="28"/>
      <c r="C26" s="2"/>
      <c r="D26" s="4"/>
      <c r="G26" s="26"/>
      <c r="H26" s="21"/>
      <c r="I26" s="21"/>
    </row>
    <row r="27" spans="1:9" x14ac:dyDescent="0.25">
      <c r="A27" s="28"/>
      <c r="B27" s="28"/>
      <c r="C27" s="2"/>
      <c r="D27" s="4"/>
      <c r="G27" s="26"/>
      <c r="H27" s="21"/>
      <c r="I27" s="21"/>
    </row>
    <row r="28" spans="1:9" x14ac:dyDescent="0.25">
      <c r="A28" s="28"/>
      <c r="B28" s="28"/>
      <c r="C28" s="2"/>
      <c r="D28" s="4"/>
      <c r="G28" s="26"/>
      <c r="H28" s="21"/>
      <c r="I28" s="21"/>
    </row>
    <row r="29" spans="1:9" x14ac:dyDescent="0.25">
      <c r="A29" s="28"/>
      <c r="B29" s="28"/>
      <c r="C29" s="2"/>
      <c r="D29" s="4"/>
      <c r="G29" s="26"/>
      <c r="H29" s="21"/>
      <c r="I29" s="21"/>
    </row>
    <row r="30" spans="1:9" x14ac:dyDescent="0.25">
      <c r="A30" s="28"/>
      <c r="B30" s="28"/>
      <c r="C30" s="2"/>
      <c r="D30" s="4"/>
      <c r="G30" s="26"/>
      <c r="H30" s="21"/>
      <c r="I30" s="21"/>
    </row>
    <row r="31" spans="1:9" x14ac:dyDescent="0.25">
      <c r="A31" s="28"/>
      <c r="B31" s="28"/>
      <c r="C31" s="2"/>
      <c r="D31" s="4"/>
      <c r="G31" s="26"/>
      <c r="H31" s="21"/>
      <c r="I31" s="21"/>
    </row>
    <row r="32" spans="1:9" x14ac:dyDescent="0.25">
      <c r="A32" s="28"/>
      <c r="B32" s="28"/>
      <c r="C32" s="2"/>
      <c r="D32" s="4"/>
      <c r="G32" s="26"/>
      <c r="H32" s="21"/>
      <c r="I32" s="21"/>
    </row>
    <row r="33" spans="1:9" x14ac:dyDescent="0.25">
      <c r="A33" s="28"/>
      <c r="B33" s="28"/>
      <c r="C33" s="2"/>
      <c r="D33" s="4"/>
      <c r="G33" s="26"/>
      <c r="H33" s="21"/>
      <c r="I33" s="21"/>
    </row>
    <row r="34" spans="1:9" x14ac:dyDescent="0.25">
      <c r="A34" s="28"/>
      <c r="B34" s="28"/>
      <c r="C34" s="2"/>
      <c r="D34" s="4"/>
      <c r="G34" s="26"/>
      <c r="H34" s="21"/>
      <c r="I34" s="21"/>
    </row>
    <row r="35" spans="1:9" x14ac:dyDescent="0.25">
      <c r="A35" s="28"/>
      <c r="B35" s="28"/>
      <c r="C35" s="2"/>
      <c r="D35" s="4"/>
      <c r="G35" s="26"/>
      <c r="H35" s="21"/>
      <c r="I35" s="21"/>
    </row>
    <row r="36" spans="1:9" x14ac:dyDescent="0.25">
      <c r="A36" s="28"/>
      <c r="B36" s="28"/>
      <c r="C36" s="2"/>
      <c r="D36" s="4"/>
      <c r="G36" s="26"/>
      <c r="H36" s="21"/>
      <c r="I36" s="21"/>
    </row>
    <row r="37" spans="1:9" x14ac:dyDescent="0.25">
      <c r="A37" s="28"/>
      <c r="B37" s="28"/>
      <c r="C37" s="2"/>
      <c r="D37" s="4"/>
      <c r="G37" s="26"/>
      <c r="H37" s="21"/>
      <c r="I37" s="21"/>
    </row>
    <row r="38" spans="1:9" x14ac:dyDescent="0.25">
      <c r="A38" s="28"/>
      <c r="B38" s="28"/>
      <c r="C38" s="2"/>
      <c r="D38" s="4"/>
      <c r="G38" s="26"/>
      <c r="H38" s="21"/>
      <c r="I38" s="21"/>
    </row>
    <row r="39" spans="1:9" x14ac:dyDescent="0.25">
      <c r="A39" s="28"/>
      <c r="B39" s="28"/>
      <c r="C39" s="2"/>
      <c r="D39" s="4"/>
      <c r="G39" s="26"/>
      <c r="H39" s="21"/>
      <c r="I39" s="21"/>
    </row>
    <row r="40" spans="1:9" x14ac:dyDescent="0.25">
      <c r="A40" s="28"/>
      <c r="B40" s="28"/>
      <c r="C40" s="2"/>
      <c r="D40" s="4"/>
      <c r="G40" s="26"/>
      <c r="H40" s="21"/>
      <c r="I40" s="21"/>
    </row>
    <row r="41" spans="1:9" x14ac:dyDescent="0.25">
      <c r="A41" s="28"/>
      <c r="B41" s="28"/>
      <c r="C41" s="2"/>
      <c r="D41" s="4"/>
      <c r="G41" s="26"/>
      <c r="H41" s="21"/>
      <c r="I41" s="21"/>
    </row>
    <row r="42" spans="1:9" x14ac:dyDescent="0.25">
      <c r="A42" s="28"/>
      <c r="B42" s="28"/>
      <c r="C42" s="2"/>
      <c r="D42" s="4"/>
      <c r="G42" s="26"/>
      <c r="H42" s="21"/>
      <c r="I42" s="21"/>
    </row>
    <row r="43" spans="1:9" x14ac:dyDescent="0.25">
      <c r="A43" s="28"/>
      <c r="B43" s="28"/>
      <c r="C43" s="2"/>
      <c r="D43" s="4"/>
      <c r="G43" s="26"/>
      <c r="H43" s="21"/>
      <c r="I43" s="21"/>
    </row>
    <row r="44" spans="1:9" x14ac:dyDescent="0.25">
      <c r="A44" s="28"/>
      <c r="B44" s="28"/>
      <c r="C44" s="2"/>
      <c r="D44" s="4"/>
      <c r="G44" s="26"/>
      <c r="H44" s="21"/>
      <c r="I44" s="21"/>
    </row>
    <row r="45" spans="1:9" x14ac:dyDescent="0.25">
      <c r="A45" s="28"/>
      <c r="B45" s="28"/>
      <c r="C45" s="2"/>
      <c r="D45" s="4"/>
      <c r="G45" s="26"/>
      <c r="H45" s="21"/>
      <c r="I45" s="21"/>
    </row>
    <row r="46" spans="1:9" x14ac:dyDescent="0.25">
      <c r="A46" s="28"/>
      <c r="B46" s="28"/>
      <c r="C46" s="2"/>
      <c r="D46" s="4"/>
      <c r="G46" s="26"/>
      <c r="H46" s="21"/>
      <c r="I46" s="21"/>
    </row>
    <row r="47" spans="1:9" x14ac:dyDescent="0.25">
      <c r="A47" s="28"/>
      <c r="B47" s="28"/>
      <c r="C47" s="2"/>
      <c r="D47" s="4"/>
      <c r="G47" s="26"/>
      <c r="H47" s="21"/>
      <c r="I47" s="21"/>
    </row>
    <row r="48" spans="1:9" x14ac:dyDescent="0.25">
      <c r="A48" s="28"/>
      <c r="B48" s="28"/>
      <c r="C48" s="2"/>
      <c r="D48" s="4"/>
      <c r="G48" s="26"/>
      <c r="H48" s="21"/>
      <c r="I48" s="21"/>
    </row>
    <row r="49" spans="1:9" x14ac:dyDescent="0.25">
      <c r="A49" s="28"/>
      <c r="B49" s="28"/>
      <c r="C49" s="2"/>
      <c r="D49" s="4"/>
      <c r="G49" s="26"/>
      <c r="H49" s="21"/>
      <c r="I49" s="21"/>
    </row>
    <row r="50" spans="1:9" x14ac:dyDescent="0.25">
      <c r="A50" s="28"/>
      <c r="B50" s="28"/>
      <c r="C50" s="2"/>
      <c r="D50" s="4"/>
      <c r="G50" s="26"/>
      <c r="H50" s="21"/>
      <c r="I50" s="21"/>
    </row>
    <row r="51" spans="1:9" x14ac:dyDescent="0.25">
      <c r="A51" s="28"/>
      <c r="B51" s="28"/>
      <c r="C51" s="2"/>
      <c r="D51" s="4"/>
      <c r="G51" s="26"/>
      <c r="H51" s="21"/>
      <c r="I51" s="21"/>
    </row>
    <row r="52" spans="1:9" x14ac:dyDescent="0.25">
      <c r="A52" s="28"/>
      <c r="B52" s="28"/>
      <c r="C52" s="2"/>
      <c r="D52" s="4"/>
      <c r="G52" s="26"/>
      <c r="H52" s="21"/>
      <c r="I52" s="21"/>
    </row>
    <row r="53" spans="1:9" x14ac:dyDescent="0.25">
      <c r="A53" s="28"/>
      <c r="B53" s="28"/>
      <c r="C53" s="2"/>
      <c r="D53" s="4"/>
      <c r="G53" s="26"/>
      <c r="H53" s="21"/>
      <c r="I53" s="21"/>
    </row>
    <row r="54" spans="1:9" x14ac:dyDescent="0.25">
      <c r="A54" s="28"/>
      <c r="B54" s="28"/>
      <c r="C54" s="2"/>
      <c r="D54" s="4"/>
      <c r="G54" s="26"/>
      <c r="H54" s="21"/>
      <c r="I54" s="21"/>
    </row>
    <row r="55" spans="1:9" x14ac:dyDescent="0.25">
      <c r="A55" s="28"/>
      <c r="B55" s="28"/>
      <c r="C55" s="2"/>
      <c r="D55" s="4"/>
      <c r="G55" s="26"/>
      <c r="H55" s="21"/>
      <c r="I55" s="21"/>
    </row>
    <row r="56" spans="1:9" x14ac:dyDescent="0.25">
      <c r="A56" s="28"/>
      <c r="B56" s="28"/>
      <c r="C56" s="2"/>
      <c r="D56" s="4"/>
      <c r="G56" s="26"/>
      <c r="H56" s="21"/>
      <c r="I56" s="21"/>
    </row>
    <row r="57" spans="1:9" x14ac:dyDescent="0.25">
      <c r="A57" s="28"/>
      <c r="B57" s="28"/>
      <c r="C57" s="2"/>
      <c r="D57" s="4"/>
      <c r="G57" s="26"/>
      <c r="H57" s="21"/>
      <c r="I57" s="21"/>
    </row>
    <row r="58" spans="1:9" x14ac:dyDescent="0.25">
      <c r="A58" s="28"/>
      <c r="B58" s="28"/>
      <c r="C58" s="2"/>
      <c r="D58" s="4"/>
      <c r="G58" s="26"/>
      <c r="H58" s="21"/>
      <c r="I58" s="21"/>
    </row>
    <row r="59" spans="1:9" x14ac:dyDescent="0.25">
      <c r="A59" s="28"/>
      <c r="B59" s="28"/>
      <c r="C59" s="2"/>
      <c r="D59" s="4"/>
      <c r="G59" s="26"/>
      <c r="H59" s="21"/>
      <c r="I59" s="21"/>
    </row>
    <row r="60" spans="1:9" x14ac:dyDescent="0.25">
      <c r="A60" s="28"/>
      <c r="B60" s="28"/>
      <c r="C60" s="2"/>
      <c r="D60" s="4"/>
      <c r="G60" s="26"/>
      <c r="H60" s="21"/>
      <c r="I60" s="21"/>
    </row>
    <row r="61" spans="1:9" x14ac:dyDescent="0.25">
      <c r="A61" s="28"/>
      <c r="B61" s="28"/>
      <c r="C61" s="2"/>
      <c r="D61" s="4"/>
      <c r="G61" s="26"/>
      <c r="H61" s="21"/>
      <c r="I61" s="21"/>
    </row>
    <row r="62" spans="1:9" x14ac:dyDescent="0.25">
      <c r="A62" s="28"/>
      <c r="B62" s="28"/>
      <c r="C62" s="2"/>
      <c r="D62" s="4"/>
      <c r="G62" s="26"/>
      <c r="H62" s="21"/>
      <c r="I62" s="21"/>
    </row>
    <row r="63" spans="1:9" x14ac:dyDescent="0.25">
      <c r="A63" s="28"/>
      <c r="B63" s="28"/>
      <c r="C63" s="2"/>
      <c r="D63" s="4"/>
      <c r="G63" s="26"/>
      <c r="H63" s="21"/>
      <c r="I63" s="21"/>
    </row>
    <row r="64" spans="1:9" x14ac:dyDescent="0.25">
      <c r="A64" s="28"/>
      <c r="B64" s="28"/>
      <c r="C64" s="2"/>
      <c r="D64" s="4"/>
      <c r="G64" s="26"/>
      <c r="H64" s="21"/>
      <c r="I64" s="21"/>
    </row>
    <row r="65" spans="1:9" x14ac:dyDescent="0.25">
      <c r="A65" s="28"/>
      <c r="B65" s="28"/>
      <c r="C65" s="2"/>
      <c r="D65" s="4"/>
      <c r="G65" s="26"/>
      <c r="H65" s="21"/>
      <c r="I65" s="21"/>
    </row>
    <row r="66" spans="1:9" x14ac:dyDescent="0.25">
      <c r="A66" s="28"/>
      <c r="B66" s="28"/>
      <c r="C66" s="2"/>
      <c r="D66" s="4"/>
      <c r="G66" s="26"/>
      <c r="H66" s="21"/>
      <c r="I66" s="21"/>
    </row>
    <row r="67" spans="1:9" x14ac:dyDescent="0.25">
      <c r="A67" s="28"/>
      <c r="B67" s="28"/>
      <c r="C67" s="2"/>
      <c r="D67" s="4"/>
      <c r="G67" s="26"/>
      <c r="H67" s="21"/>
      <c r="I67" s="21"/>
    </row>
    <row r="68" spans="1:9" x14ac:dyDescent="0.25">
      <c r="A68" s="28"/>
      <c r="B68" s="28"/>
      <c r="C68" s="2"/>
      <c r="D68" s="4"/>
      <c r="G68" s="26"/>
      <c r="H68" s="21"/>
      <c r="I68" s="21"/>
    </row>
    <row r="69" spans="1:9" x14ac:dyDescent="0.25">
      <c r="A69" s="28"/>
      <c r="B69" s="28"/>
      <c r="C69" s="2"/>
      <c r="D69" s="4"/>
      <c r="G69" s="26"/>
      <c r="H69" s="21"/>
      <c r="I69" s="21"/>
    </row>
    <row r="70" spans="1:9" x14ac:dyDescent="0.25">
      <c r="A70" s="28"/>
      <c r="B70" s="28"/>
      <c r="C70" s="2"/>
      <c r="D70" s="4"/>
      <c r="G70" s="26"/>
      <c r="H70" s="21"/>
      <c r="I70" s="21"/>
    </row>
    <row r="71" spans="1:9" x14ac:dyDescent="0.25">
      <c r="A71" s="28"/>
      <c r="B71" s="28"/>
      <c r="C71" s="2"/>
      <c r="D71" s="4"/>
      <c r="G71" s="26"/>
      <c r="H71" s="21"/>
      <c r="I71" s="21"/>
    </row>
    <row r="72" spans="1:9" x14ac:dyDescent="0.25">
      <c r="A72" s="28"/>
      <c r="B72" s="28"/>
      <c r="C72" s="2"/>
      <c r="D72" s="4"/>
      <c r="G72" s="26"/>
      <c r="H72" s="21"/>
      <c r="I72" s="21"/>
    </row>
    <row r="73" spans="1:9" x14ac:dyDescent="0.25">
      <c r="A73" s="28"/>
      <c r="B73" s="28"/>
      <c r="C73" s="2"/>
      <c r="D73" s="4"/>
      <c r="G73" s="26"/>
      <c r="H73" s="21"/>
      <c r="I73" s="21"/>
    </row>
    <row r="74" spans="1:9" x14ac:dyDescent="0.25">
      <c r="A74" s="28"/>
      <c r="B74" s="28"/>
      <c r="C74" s="2"/>
      <c r="D74" s="4"/>
      <c r="G74" s="26"/>
      <c r="H74" s="21"/>
      <c r="I74" s="21"/>
    </row>
    <row r="75" spans="1:9" x14ac:dyDescent="0.25">
      <c r="A75" s="28"/>
      <c r="B75" s="28"/>
      <c r="C75" s="2"/>
      <c r="D75" s="4"/>
      <c r="G75" s="26"/>
      <c r="H75" s="21"/>
      <c r="I75" s="21"/>
    </row>
    <row r="76" spans="1:9" x14ac:dyDescent="0.25">
      <c r="A76" s="28"/>
      <c r="B76" s="28"/>
      <c r="C76" s="2"/>
      <c r="D76" s="4"/>
      <c r="G76" s="26"/>
      <c r="H76" s="21"/>
      <c r="I76" s="21"/>
    </row>
    <row r="77" spans="1:9" x14ac:dyDescent="0.25">
      <c r="A77" s="28"/>
      <c r="B77" s="28"/>
      <c r="C77" s="2"/>
      <c r="D77" s="4"/>
      <c r="G77" s="26"/>
      <c r="H77" s="21"/>
      <c r="I77" s="21"/>
    </row>
    <row r="78" spans="1:9" x14ac:dyDescent="0.25">
      <c r="A78" s="28"/>
      <c r="B78" s="28"/>
      <c r="C78" s="2"/>
      <c r="D78" s="4"/>
      <c r="G78" s="26"/>
      <c r="H78" s="21"/>
      <c r="I78" s="21"/>
    </row>
    <row r="79" spans="1:9" x14ac:dyDescent="0.25">
      <c r="A79" s="28"/>
      <c r="B79" s="28"/>
      <c r="C79" s="2"/>
      <c r="D79" s="4"/>
      <c r="G79" s="26"/>
      <c r="H79" s="21"/>
      <c r="I79" s="21"/>
    </row>
    <row r="80" spans="1:9" x14ac:dyDescent="0.25">
      <c r="A80" s="28"/>
      <c r="B80" s="28"/>
      <c r="C80" s="2"/>
      <c r="D80" s="4"/>
      <c r="G80" s="26"/>
      <c r="H80" s="21"/>
      <c r="I80" s="21"/>
    </row>
    <row r="81" spans="1:9" x14ac:dyDescent="0.25">
      <c r="A81" s="28"/>
      <c r="B81" s="28"/>
      <c r="C81" s="2"/>
      <c r="D81" s="4"/>
      <c r="G81" s="26"/>
      <c r="H81" s="21"/>
      <c r="I81" s="21"/>
    </row>
    <row r="82" spans="1:9" x14ac:dyDescent="0.25">
      <c r="A82" s="28"/>
      <c r="B82" s="28"/>
      <c r="C82" s="2"/>
      <c r="D82" s="4"/>
      <c r="G82" s="26"/>
      <c r="H82" s="21"/>
      <c r="I82" s="21"/>
    </row>
    <row r="83" spans="1:9" x14ac:dyDescent="0.25">
      <c r="A83" s="28"/>
      <c r="B83" s="28"/>
      <c r="C83" s="2"/>
      <c r="D83" s="4"/>
      <c r="G83" s="26"/>
      <c r="H83" s="21"/>
      <c r="I83" s="21"/>
    </row>
    <row r="84" spans="1:9" x14ac:dyDescent="0.25">
      <c r="A84" s="28"/>
      <c r="B84" s="28"/>
      <c r="C84" s="2"/>
      <c r="D84" s="4"/>
      <c r="G84" s="26"/>
      <c r="H84" s="21"/>
      <c r="I84" s="21"/>
    </row>
    <row r="85" spans="1:9" x14ac:dyDescent="0.25">
      <c r="A85" s="28"/>
      <c r="B85" s="28"/>
      <c r="C85" s="2"/>
      <c r="D85" s="4"/>
      <c r="G85" s="26"/>
      <c r="H85" s="21"/>
      <c r="I85" s="21"/>
    </row>
    <row r="86" spans="1:9" x14ac:dyDescent="0.25">
      <c r="A86" s="28"/>
      <c r="B86" s="28"/>
      <c r="C86" s="2"/>
      <c r="D86" s="4"/>
      <c r="G86" s="26"/>
      <c r="H86" s="21"/>
      <c r="I86" s="21"/>
    </row>
    <row r="87" spans="1:9" x14ac:dyDescent="0.25">
      <c r="A87" s="28"/>
      <c r="B87" s="28"/>
      <c r="C87" s="2"/>
      <c r="D87" s="4"/>
      <c r="G87" s="26"/>
      <c r="H87" s="21"/>
      <c r="I87" s="21"/>
    </row>
    <row r="88" spans="1:9" x14ac:dyDescent="0.25">
      <c r="A88" s="28"/>
      <c r="B88" s="28"/>
      <c r="C88" s="2"/>
      <c r="D88" s="4"/>
      <c r="G88" s="26"/>
      <c r="H88" s="21"/>
      <c r="I88" s="21"/>
    </row>
    <row r="89" spans="1:9" x14ac:dyDescent="0.25">
      <c r="A89" s="28"/>
      <c r="B89" s="28"/>
      <c r="C89" s="2"/>
      <c r="D89" s="4"/>
      <c r="G89" s="26"/>
      <c r="H89" s="21"/>
      <c r="I89" s="21"/>
    </row>
    <row r="90" spans="1:9" x14ac:dyDescent="0.25">
      <c r="A90" s="28"/>
      <c r="B90" s="28"/>
      <c r="C90" s="2"/>
      <c r="D90" s="4"/>
      <c r="G90" s="26"/>
      <c r="H90" s="21"/>
      <c r="I90" s="21"/>
    </row>
    <row r="91" spans="1:9" x14ac:dyDescent="0.25">
      <c r="A91" s="28"/>
      <c r="B91" s="28"/>
      <c r="C91" s="2"/>
      <c r="D91" s="4"/>
      <c r="G91" s="26"/>
      <c r="H91" s="21"/>
      <c r="I91" s="21"/>
    </row>
    <row r="92" spans="1:9" x14ac:dyDescent="0.25">
      <c r="A92" s="28"/>
      <c r="B92" s="28"/>
      <c r="C92" s="2"/>
      <c r="D92" s="4"/>
      <c r="G92" s="26"/>
      <c r="H92" s="21"/>
      <c r="I92" s="21"/>
    </row>
    <row r="93" spans="1:9" x14ac:dyDescent="0.25">
      <c r="A93" s="28"/>
      <c r="B93" s="28"/>
      <c r="C93" s="2"/>
      <c r="D93" s="4"/>
      <c r="G93" s="26"/>
      <c r="H93" s="21"/>
      <c r="I93" s="21"/>
    </row>
    <row r="94" spans="1:9" x14ac:dyDescent="0.25">
      <c r="A94" s="28"/>
      <c r="B94" s="28"/>
      <c r="C94" s="2"/>
      <c r="D94" s="4"/>
      <c r="G94" s="26"/>
      <c r="H94" s="21"/>
      <c r="I94" s="21"/>
    </row>
    <row r="95" spans="1:9" x14ac:dyDescent="0.25">
      <c r="A95" s="28"/>
      <c r="B95" s="28"/>
      <c r="C95" s="2"/>
      <c r="D95" s="4"/>
      <c r="G95" s="26"/>
      <c r="H95" s="21"/>
      <c r="I95" s="21"/>
    </row>
    <row r="96" spans="1:9" x14ac:dyDescent="0.25">
      <c r="A96" s="28"/>
      <c r="B96" s="28"/>
      <c r="C96" s="2"/>
      <c r="D96" s="4"/>
      <c r="G96" s="26"/>
      <c r="H96" s="21"/>
      <c r="I96" s="21"/>
    </row>
    <row r="97" spans="1:9" x14ac:dyDescent="0.25">
      <c r="A97" s="28"/>
      <c r="B97" s="28"/>
      <c r="C97" s="2"/>
      <c r="D97" s="4"/>
      <c r="G97" s="26"/>
      <c r="H97" s="21"/>
      <c r="I97" s="21"/>
    </row>
    <row r="98" spans="1:9" x14ac:dyDescent="0.25">
      <c r="A98" s="28"/>
      <c r="B98" s="28"/>
      <c r="C98" s="2"/>
      <c r="D98" s="4"/>
      <c r="G98" s="26"/>
      <c r="H98" s="21"/>
      <c r="I98" s="21"/>
    </row>
    <row r="99" spans="1:9" x14ac:dyDescent="0.25">
      <c r="A99" s="28"/>
      <c r="B99" s="28"/>
      <c r="C99" s="2"/>
      <c r="D99" s="4"/>
      <c r="G99" s="26"/>
      <c r="H99" s="21"/>
      <c r="I99" s="21"/>
    </row>
    <row r="100" spans="1:9" x14ac:dyDescent="0.25">
      <c r="A100" s="28"/>
      <c r="B100" s="28"/>
      <c r="C100" s="2"/>
      <c r="D100" s="4"/>
      <c r="G100" s="26"/>
      <c r="H100" s="21"/>
      <c r="I100" s="21"/>
    </row>
    <row r="101" spans="1:9" x14ac:dyDescent="0.25">
      <c r="A101" s="28"/>
      <c r="B101" s="28"/>
      <c r="C101" s="2"/>
      <c r="D101" s="4"/>
      <c r="G101" s="26"/>
      <c r="H101" s="21"/>
      <c r="I101" s="21"/>
    </row>
    <row r="102" spans="1:9" x14ac:dyDescent="0.25">
      <c r="A102" s="28"/>
      <c r="B102" s="28"/>
      <c r="C102" s="2"/>
      <c r="D102" s="4"/>
      <c r="G102" s="26"/>
      <c r="H102" s="21"/>
      <c r="I102" s="21"/>
    </row>
    <row r="103" spans="1:9" x14ac:dyDescent="0.25">
      <c r="A103" s="28"/>
      <c r="B103" s="28"/>
      <c r="C103" s="2"/>
      <c r="D103" s="4"/>
      <c r="G103" s="26"/>
      <c r="H103" s="21"/>
      <c r="I103" s="21"/>
    </row>
    <row r="104" spans="1:9" x14ac:dyDescent="0.25">
      <c r="A104" s="28"/>
      <c r="B104" s="28"/>
      <c r="C104" s="2"/>
      <c r="D104" s="4"/>
      <c r="G104" s="26"/>
      <c r="H104" s="21"/>
      <c r="I104" s="21"/>
    </row>
    <row r="105" spans="1:9" x14ac:dyDescent="0.25">
      <c r="A105" s="28"/>
      <c r="B105" s="28"/>
      <c r="C105" s="2"/>
      <c r="D105" s="4"/>
      <c r="G105" s="26"/>
      <c r="H105" s="21"/>
      <c r="I105" s="21"/>
    </row>
    <row r="106" spans="1:9" x14ac:dyDescent="0.25">
      <c r="A106" s="28"/>
      <c r="B106" s="28"/>
      <c r="C106" s="2"/>
      <c r="D106" s="4"/>
      <c r="G106" s="26"/>
      <c r="H106" s="21"/>
      <c r="I106" s="21"/>
    </row>
    <row r="107" spans="1:9" x14ac:dyDescent="0.25">
      <c r="A107" s="28"/>
      <c r="B107" s="28"/>
      <c r="C107" s="2"/>
      <c r="D107" s="4"/>
      <c r="G107" s="26"/>
      <c r="H107" s="21"/>
      <c r="I107" s="21"/>
    </row>
    <row r="108" spans="1:9" x14ac:dyDescent="0.25">
      <c r="A108" s="28"/>
      <c r="B108" s="28"/>
      <c r="C108" s="2"/>
      <c r="D108" s="4"/>
      <c r="G108" s="26"/>
      <c r="H108" s="21"/>
      <c r="I108" s="21"/>
    </row>
    <row r="109" spans="1:9" x14ac:dyDescent="0.25">
      <c r="A109" s="28"/>
      <c r="B109" s="28"/>
      <c r="C109" s="2"/>
      <c r="D109" s="4"/>
      <c r="G109" s="26"/>
      <c r="H109" s="21"/>
      <c r="I109" s="21"/>
    </row>
    <row r="110" spans="1:9" x14ac:dyDescent="0.25">
      <c r="A110" s="28"/>
      <c r="B110" s="28"/>
      <c r="C110" s="2"/>
      <c r="D110" s="4"/>
      <c r="G110" s="26"/>
      <c r="H110" s="21"/>
      <c r="I110" s="21"/>
    </row>
    <row r="111" spans="1:9" x14ac:dyDescent="0.25">
      <c r="A111" s="28"/>
      <c r="B111" s="28"/>
      <c r="C111" s="2"/>
      <c r="D111" s="4"/>
      <c r="G111" s="26"/>
      <c r="H111" s="21"/>
      <c r="I111" s="21"/>
    </row>
    <row r="112" spans="1:9" x14ac:dyDescent="0.25">
      <c r="A112" s="28"/>
      <c r="B112" s="28"/>
      <c r="C112" s="2"/>
      <c r="D112" s="4"/>
      <c r="G112" s="26"/>
      <c r="H112" s="21"/>
      <c r="I112" s="21"/>
    </row>
    <row r="113" spans="1:9" x14ac:dyDescent="0.25">
      <c r="A113" s="28"/>
      <c r="B113" s="28"/>
      <c r="C113" s="2"/>
      <c r="D113" s="4"/>
      <c r="G113" s="26"/>
      <c r="H113" s="21"/>
      <c r="I113" s="21"/>
    </row>
    <row r="114" spans="1:9" x14ac:dyDescent="0.25">
      <c r="A114" s="28"/>
      <c r="B114" s="28"/>
      <c r="C114" s="2"/>
      <c r="D114" s="4"/>
      <c r="G114" s="26"/>
      <c r="H114" s="21"/>
      <c r="I114" s="21"/>
    </row>
    <row r="115" spans="1:9" x14ac:dyDescent="0.25">
      <c r="A115" s="28"/>
      <c r="B115" s="28"/>
      <c r="C115" s="2"/>
      <c r="D115" s="4"/>
      <c r="G115" s="26"/>
      <c r="H115" s="21"/>
      <c r="I115" s="21"/>
    </row>
    <row r="116" spans="1:9" x14ac:dyDescent="0.25">
      <c r="A116" s="28"/>
      <c r="B116" s="28"/>
      <c r="C116" s="2"/>
      <c r="D116" s="4"/>
      <c r="G116" s="26"/>
      <c r="H116" s="21"/>
      <c r="I116" s="21"/>
    </row>
    <row r="117" spans="1:9" x14ac:dyDescent="0.25">
      <c r="A117" s="28"/>
      <c r="B117" s="28"/>
      <c r="C117" s="2"/>
      <c r="D117" s="4"/>
      <c r="G117" s="26"/>
      <c r="H117" s="21"/>
      <c r="I117" s="21"/>
    </row>
    <row r="118" spans="1:9" x14ac:dyDescent="0.25">
      <c r="A118" s="28"/>
      <c r="B118" s="28"/>
      <c r="C118" s="2"/>
      <c r="D118" s="4"/>
      <c r="G118" s="26"/>
      <c r="H118" s="21"/>
      <c r="I118" s="21"/>
    </row>
    <row r="119" spans="1:9" x14ac:dyDescent="0.25">
      <c r="A119" s="28"/>
      <c r="B119" s="28"/>
      <c r="C119" s="2"/>
      <c r="D119" s="4"/>
      <c r="G119" s="26"/>
      <c r="H119" s="21"/>
      <c r="I119" s="21"/>
    </row>
    <row r="120" spans="1:9" x14ac:dyDescent="0.25">
      <c r="A120" s="28"/>
      <c r="B120" s="28"/>
      <c r="C120" s="2"/>
      <c r="D120" s="4"/>
      <c r="G120" s="26"/>
      <c r="H120" s="21"/>
      <c r="I120" s="21"/>
    </row>
    <row r="121" spans="1:9" x14ac:dyDescent="0.25">
      <c r="A121" s="28"/>
      <c r="B121" s="28"/>
      <c r="C121" s="2"/>
      <c r="D121" s="4"/>
      <c r="G121" s="26"/>
      <c r="H121" s="21"/>
      <c r="I121" s="21"/>
    </row>
    <row r="122" spans="1:9" x14ac:dyDescent="0.25">
      <c r="A122" s="28"/>
      <c r="B122" s="28"/>
      <c r="C122" s="2"/>
      <c r="D122" s="4"/>
      <c r="G122" s="26"/>
      <c r="H122" s="21"/>
      <c r="I122" s="21"/>
    </row>
    <row r="123" spans="1:9" x14ac:dyDescent="0.25">
      <c r="A123" s="28"/>
      <c r="B123" s="28"/>
      <c r="C123" s="2"/>
      <c r="D123" s="4"/>
      <c r="G123" s="26"/>
      <c r="H123" s="21"/>
      <c r="I123" s="21"/>
    </row>
    <row r="124" spans="1:9" x14ac:dyDescent="0.25">
      <c r="A124" s="28"/>
      <c r="B124" s="28"/>
      <c r="C124" s="2"/>
      <c r="D124" s="4"/>
      <c r="G124" s="26"/>
      <c r="H124" s="21"/>
      <c r="I124" s="21"/>
    </row>
    <row r="125" spans="1:9" x14ac:dyDescent="0.25">
      <c r="A125" s="28"/>
      <c r="B125" s="28"/>
      <c r="C125" s="2"/>
      <c r="D125" s="4"/>
      <c r="G125" s="26"/>
      <c r="H125" s="21"/>
      <c r="I125" s="21"/>
    </row>
    <row r="126" spans="1:9" x14ac:dyDescent="0.25">
      <c r="A126" s="28"/>
      <c r="B126" s="28"/>
      <c r="C126" s="2"/>
      <c r="D126" s="4"/>
      <c r="G126" s="26"/>
      <c r="H126" s="21"/>
      <c r="I126" s="21"/>
    </row>
    <row r="127" spans="1:9" x14ac:dyDescent="0.25">
      <c r="A127" s="28"/>
      <c r="B127" s="28"/>
      <c r="C127" s="2"/>
      <c r="D127" s="4"/>
      <c r="G127" s="26"/>
      <c r="H127" s="21"/>
      <c r="I127" s="21"/>
    </row>
    <row r="128" spans="1:9" x14ac:dyDescent="0.25">
      <c r="A128" s="28"/>
      <c r="B128" s="28"/>
      <c r="C128" s="2"/>
      <c r="D128" s="4"/>
      <c r="G128" s="26"/>
      <c r="H128" s="21"/>
      <c r="I128" s="21"/>
    </row>
    <row r="129" spans="1:9" x14ac:dyDescent="0.25">
      <c r="A129" s="28"/>
      <c r="B129" s="28"/>
      <c r="C129" s="2"/>
      <c r="D129" s="4"/>
      <c r="G129" s="26"/>
      <c r="H129" s="21"/>
      <c r="I129" s="21"/>
    </row>
    <row r="130" spans="1:9" x14ac:dyDescent="0.25">
      <c r="A130" s="28"/>
      <c r="B130" s="28"/>
      <c r="C130" s="2"/>
      <c r="D130" s="4"/>
      <c r="G130" s="26"/>
      <c r="H130" s="21"/>
      <c r="I130" s="21"/>
    </row>
    <row r="131" spans="1:9" x14ac:dyDescent="0.25">
      <c r="A131" s="28"/>
      <c r="B131" s="28"/>
      <c r="C131" s="2"/>
      <c r="D131" s="4"/>
      <c r="G131" s="26"/>
      <c r="H131" s="21"/>
      <c r="I131" s="21"/>
    </row>
    <row r="132" spans="1:9" x14ac:dyDescent="0.25">
      <c r="A132" s="28"/>
      <c r="B132" s="28"/>
      <c r="C132" s="2"/>
      <c r="D132" s="4"/>
      <c r="G132" s="26"/>
      <c r="H132" s="21"/>
      <c r="I132" s="21"/>
    </row>
    <row r="133" spans="1:9" x14ac:dyDescent="0.25">
      <c r="A133" s="28"/>
      <c r="B133" s="28"/>
      <c r="C133" s="2"/>
      <c r="D133" s="4"/>
      <c r="G133" s="26"/>
      <c r="H133" s="21"/>
      <c r="I133" s="21"/>
    </row>
    <row r="134" spans="1:9" x14ac:dyDescent="0.25">
      <c r="A134" s="28"/>
      <c r="B134" s="28"/>
      <c r="C134" s="2"/>
      <c r="D134" s="4"/>
      <c r="G134" s="26"/>
      <c r="H134" s="21"/>
      <c r="I134" s="21"/>
    </row>
    <row r="135" spans="1:9" x14ac:dyDescent="0.25">
      <c r="A135" s="28"/>
      <c r="B135" s="28"/>
      <c r="C135" s="2"/>
      <c r="D135" s="4"/>
      <c r="G135" s="26"/>
      <c r="H135" s="21"/>
      <c r="I135" s="21"/>
    </row>
    <row r="136" spans="1:9" x14ac:dyDescent="0.25">
      <c r="A136" s="28"/>
      <c r="B136" s="28"/>
      <c r="C136" s="2"/>
      <c r="D136" s="4"/>
      <c r="G136" s="26"/>
      <c r="H136" s="21"/>
      <c r="I136" s="21"/>
    </row>
    <row r="137" spans="1:9" x14ac:dyDescent="0.25">
      <c r="A137" s="28"/>
      <c r="B137" s="28"/>
      <c r="C137" s="2"/>
      <c r="D137" s="4"/>
      <c r="G137" s="26"/>
      <c r="H137" s="21"/>
      <c r="I137" s="21"/>
    </row>
    <row r="138" spans="1:9" x14ac:dyDescent="0.25">
      <c r="A138" s="28"/>
      <c r="B138" s="28"/>
      <c r="C138" s="2"/>
      <c r="D138" s="4"/>
      <c r="G138" s="26"/>
      <c r="H138" s="21"/>
      <c r="I138" s="21"/>
    </row>
    <row r="139" spans="1:9" x14ac:dyDescent="0.25">
      <c r="A139" s="28"/>
      <c r="B139" s="28"/>
      <c r="C139" s="2"/>
      <c r="D139" s="4"/>
      <c r="G139" s="26"/>
      <c r="H139" s="21"/>
      <c r="I139" s="21"/>
    </row>
    <row r="140" spans="1:9" x14ac:dyDescent="0.25">
      <c r="A140" s="28"/>
      <c r="B140" s="28"/>
      <c r="C140" s="2"/>
      <c r="D140" s="4"/>
      <c r="G140" s="26"/>
      <c r="H140" s="21"/>
      <c r="I140" s="21"/>
    </row>
    <row r="141" spans="1:9" x14ac:dyDescent="0.25">
      <c r="A141" s="28"/>
      <c r="B141" s="28"/>
      <c r="C141" s="2"/>
      <c r="D141" s="4"/>
      <c r="G141" s="26"/>
      <c r="H141" s="21"/>
      <c r="I141" s="21"/>
    </row>
    <row r="142" spans="1:9" x14ac:dyDescent="0.25">
      <c r="A142" s="28"/>
      <c r="B142" s="28"/>
      <c r="C142" s="2"/>
      <c r="D142" s="4"/>
      <c r="G142" s="26"/>
      <c r="H142" s="21"/>
      <c r="I142" s="21"/>
    </row>
    <row r="143" spans="1:9" x14ac:dyDescent="0.25">
      <c r="A143" s="28"/>
      <c r="B143" s="28"/>
      <c r="C143" s="2"/>
      <c r="D143" s="4"/>
      <c r="G143" s="26"/>
      <c r="H143" s="21"/>
      <c r="I143" s="21"/>
    </row>
    <row r="144" spans="1:9" x14ac:dyDescent="0.25">
      <c r="A144" s="28"/>
      <c r="B144" s="28"/>
      <c r="C144" s="2"/>
      <c r="D144" s="4"/>
      <c r="G144" s="26"/>
      <c r="H144" s="21"/>
      <c r="I144" s="21"/>
    </row>
    <row r="145" spans="1:9" x14ac:dyDescent="0.25">
      <c r="A145" s="28"/>
      <c r="B145" s="28"/>
      <c r="C145" s="2"/>
      <c r="D145" s="4"/>
      <c r="G145" s="26"/>
      <c r="H145" s="21"/>
      <c r="I145" s="21"/>
    </row>
    <row r="146" spans="1:9" x14ac:dyDescent="0.25">
      <c r="A146" s="28"/>
      <c r="B146" s="28"/>
      <c r="C146" s="2"/>
      <c r="D146" s="4"/>
      <c r="G146" s="26"/>
      <c r="H146" s="21"/>
      <c r="I146" s="21"/>
    </row>
    <row r="147" spans="1:9" x14ac:dyDescent="0.25">
      <c r="A147" s="28"/>
      <c r="B147" s="28"/>
      <c r="C147" s="2"/>
      <c r="D147" s="4"/>
      <c r="G147" s="26"/>
      <c r="H147" s="21"/>
      <c r="I147" s="21"/>
    </row>
    <row r="148" spans="1:9" x14ac:dyDescent="0.25">
      <c r="A148" s="28"/>
      <c r="B148" s="28"/>
      <c r="C148" s="2"/>
      <c r="D148" s="4"/>
      <c r="G148" s="26"/>
      <c r="H148" s="21"/>
      <c r="I148" s="21"/>
    </row>
    <row r="149" spans="1:9" x14ac:dyDescent="0.25">
      <c r="A149" s="28"/>
      <c r="B149" s="28"/>
      <c r="C149" s="2"/>
      <c r="D149" s="4"/>
      <c r="G149" s="26"/>
      <c r="H149" s="21"/>
      <c r="I149" s="21"/>
    </row>
    <row r="150" spans="1:9" x14ac:dyDescent="0.25">
      <c r="A150" s="28"/>
      <c r="B150" s="28"/>
      <c r="C150" s="2"/>
      <c r="D150" s="4"/>
      <c r="G150" s="26"/>
      <c r="H150" s="21"/>
      <c r="I150" s="21"/>
    </row>
    <row r="151" spans="1:9" x14ac:dyDescent="0.25">
      <c r="A151" s="28"/>
      <c r="B151" s="28"/>
      <c r="C151" s="2"/>
      <c r="D151" s="4"/>
      <c r="G151" s="26"/>
      <c r="H151" s="21"/>
      <c r="I151" s="21"/>
    </row>
    <row r="152" spans="1:9" x14ac:dyDescent="0.25">
      <c r="A152" s="28"/>
      <c r="B152" s="28"/>
      <c r="C152" s="2"/>
      <c r="D152" s="4"/>
      <c r="G152" s="26"/>
      <c r="H152" s="21"/>
      <c r="I152" s="21"/>
    </row>
    <row r="153" spans="1:9" x14ac:dyDescent="0.25">
      <c r="A153" s="28"/>
      <c r="B153" s="28"/>
      <c r="C153" s="2"/>
      <c r="D153" s="4"/>
      <c r="G153" s="26"/>
      <c r="H153" s="21"/>
      <c r="I153" s="21"/>
    </row>
    <row r="154" spans="1:9" x14ac:dyDescent="0.25">
      <c r="A154" s="28"/>
      <c r="B154" s="28"/>
      <c r="C154" s="2"/>
      <c r="D154" s="4"/>
      <c r="G154" s="26"/>
      <c r="H154" s="21"/>
      <c r="I154" s="21"/>
    </row>
    <row r="155" spans="1:9" x14ac:dyDescent="0.25">
      <c r="A155" s="28"/>
      <c r="B155" s="28"/>
      <c r="C155" s="2"/>
      <c r="D155" s="4"/>
      <c r="G155" s="26"/>
      <c r="H155" s="21"/>
      <c r="I155" s="21"/>
    </row>
    <row r="156" spans="1:9" x14ac:dyDescent="0.25">
      <c r="A156" s="28"/>
      <c r="B156" s="28"/>
      <c r="C156" s="2"/>
      <c r="D156" s="4"/>
      <c r="G156" s="26"/>
      <c r="H156" s="21"/>
      <c r="I156" s="21"/>
    </row>
    <row r="157" spans="1:9" x14ac:dyDescent="0.25">
      <c r="A157" s="28"/>
      <c r="B157" s="28"/>
      <c r="C157" s="2"/>
      <c r="D157" s="4"/>
      <c r="G157" s="26"/>
      <c r="H157" s="21"/>
      <c r="I157" s="21"/>
    </row>
    <row r="158" spans="1:9" x14ac:dyDescent="0.25">
      <c r="A158" s="28"/>
      <c r="B158" s="28"/>
      <c r="C158" s="2"/>
      <c r="D158" s="4"/>
      <c r="G158" s="26"/>
      <c r="H158" s="21"/>
      <c r="I158" s="21"/>
    </row>
    <row r="159" spans="1:9" x14ac:dyDescent="0.25">
      <c r="A159" s="28"/>
      <c r="B159" s="28"/>
      <c r="C159" s="2"/>
      <c r="D159" s="4"/>
      <c r="G159" s="26"/>
      <c r="H159" s="21"/>
      <c r="I159" s="21"/>
    </row>
    <row r="160" spans="1:9" x14ac:dyDescent="0.25">
      <c r="A160" s="28"/>
      <c r="B160" s="28"/>
      <c r="C160" s="2"/>
      <c r="D160" s="4"/>
      <c r="G160" s="26"/>
      <c r="H160" s="21"/>
      <c r="I160" s="21"/>
    </row>
    <row r="161" spans="1:9" x14ac:dyDescent="0.25">
      <c r="A161" s="28"/>
      <c r="B161" s="28"/>
      <c r="C161" s="2"/>
      <c r="D161" s="4"/>
      <c r="G161" s="26"/>
      <c r="H161" s="21"/>
      <c r="I161" s="21"/>
    </row>
    <row r="162" spans="1:9" x14ac:dyDescent="0.25">
      <c r="A162" s="28"/>
      <c r="B162" s="28"/>
      <c r="C162" s="2"/>
      <c r="D162" s="4"/>
      <c r="G162" s="26"/>
      <c r="H162" s="21"/>
      <c r="I162" s="21"/>
    </row>
    <row r="163" spans="1:9" x14ac:dyDescent="0.25">
      <c r="A163" s="28"/>
      <c r="B163" s="28"/>
      <c r="C163" s="2"/>
      <c r="D163" s="4"/>
      <c r="G163" s="26"/>
      <c r="H163" s="21"/>
      <c r="I163" s="21"/>
    </row>
    <row r="164" spans="1:9" x14ac:dyDescent="0.25">
      <c r="A164" s="28"/>
      <c r="B164" s="28"/>
      <c r="C164" s="2"/>
      <c r="D164" s="4"/>
      <c r="G164" s="26"/>
      <c r="H164" s="21"/>
      <c r="I164" s="21"/>
    </row>
    <row r="165" spans="1:9" x14ac:dyDescent="0.25">
      <c r="A165" s="28"/>
      <c r="B165" s="28"/>
      <c r="C165" s="2"/>
      <c r="D165" s="4"/>
      <c r="G165" s="26"/>
      <c r="H165" s="21"/>
      <c r="I165" s="21"/>
    </row>
    <row r="166" spans="1:9" x14ac:dyDescent="0.25">
      <c r="A166" s="28"/>
      <c r="B166" s="28"/>
      <c r="C166" s="2"/>
      <c r="D166" s="4"/>
      <c r="G166" s="26"/>
      <c r="H166" s="21"/>
      <c r="I166" s="21"/>
    </row>
    <row r="167" spans="1:9" x14ac:dyDescent="0.25">
      <c r="A167" s="28"/>
      <c r="B167" s="28"/>
      <c r="C167" s="2"/>
      <c r="D167" s="4"/>
      <c r="G167" s="26"/>
      <c r="H167" s="21"/>
      <c r="I167" s="21"/>
    </row>
    <row r="168" spans="1:9" x14ac:dyDescent="0.25">
      <c r="A168" s="28"/>
      <c r="B168" s="28"/>
      <c r="C168" s="2"/>
      <c r="D168" s="4"/>
      <c r="G168" s="26"/>
      <c r="H168" s="21"/>
      <c r="I168" s="21"/>
    </row>
    <row r="169" spans="1:9" x14ac:dyDescent="0.25">
      <c r="A169" s="28"/>
      <c r="B169" s="28"/>
      <c r="C169" s="2"/>
      <c r="D169" s="4"/>
      <c r="G169" s="26"/>
      <c r="H169" s="21"/>
      <c r="I169" s="21"/>
    </row>
    <row r="170" spans="1:9" x14ac:dyDescent="0.25">
      <c r="A170" s="28"/>
      <c r="B170" s="28"/>
      <c r="C170" s="2"/>
      <c r="D170" s="4"/>
      <c r="G170" s="26"/>
      <c r="H170" s="21"/>
      <c r="I170" s="21"/>
    </row>
    <row r="171" spans="1:9" x14ac:dyDescent="0.25">
      <c r="A171" s="28"/>
      <c r="B171" s="28"/>
      <c r="C171" s="2"/>
      <c r="D171" s="4"/>
      <c r="G171" s="26"/>
      <c r="H171" s="21"/>
      <c r="I171" s="21"/>
    </row>
    <row r="172" spans="1:9" x14ac:dyDescent="0.25">
      <c r="A172" s="28"/>
      <c r="B172" s="28"/>
      <c r="C172" s="2"/>
      <c r="D172" s="4"/>
      <c r="G172" s="26"/>
      <c r="H172" s="21"/>
      <c r="I172" s="21"/>
    </row>
    <row r="173" spans="1:9" x14ac:dyDescent="0.25">
      <c r="A173" s="28"/>
      <c r="B173" s="28"/>
      <c r="C173" s="2"/>
      <c r="D173" s="4"/>
      <c r="G173" s="26"/>
      <c r="H173" s="21"/>
      <c r="I173" s="21"/>
    </row>
    <row r="174" spans="1:9" x14ac:dyDescent="0.25">
      <c r="A174" s="28"/>
      <c r="B174" s="28"/>
      <c r="C174" s="2"/>
      <c r="D174" s="4"/>
      <c r="G174" s="26"/>
      <c r="H174" s="21"/>
      <c r="I174" s="21"/>
    </row>
    <row r="175" spans="1:9" x14ac:dyDescent="0.25">
      <c r="A175" s="28"/>
      <c r="B175" s="28"/>
      <c r="C175" s="2"/>
      <c r="D175" s="4"/>
      <c r="G175" s="26"/>
      <c r="H175" s="21"/>
      <c r="I175" s="21"/>
    </row>
    <row r="176" spans="1:9" x14ac:dyDescent="0.25">
      <c r="A176" s="28"/>
      <c r="B176" s="28"/>
      <c r="C176" s="2"/>
      <c r="D176" s="4"/>
      <c r="G176" s="26"/>
      <c r="H176" s="21"/>
      <c r="I176" s="21"/>
    </row>
    <row r="177" spans="1:9" x14ac:dyDescent="0.25">
      <c r="A177" s="28"/>
      <c r="B177" s="28"/>
      <c r="C177" s="2"/>
      <c r="D177" s="4"/>
      <c r="G177" s="26"/>
      <c r="H177" s="21"/>
      <c r="I177" s="21"/>
    </row>
    <row r="178" spans="1:9" x14ac:dyDescent="0.25">
      <c r="A178" s="28"/>
      <c r="B178" s="28"/>
      <c r="C178" s="2"/>
      <c r="D178" s="4"/>
      <c r="G178" s="26"/>
      <c r="H178" s="21"/>
      <c r="I178" s="21"/>
    </row>
    <row r="179" spans="1:9" x14ac:dyDescent="0.25">
      <c r="A179" s="28"/>
      <c r="B179" s="28"/>
      <c r="C179" s="2"/>
      <c r="D179" s="4"/>
      <c r="G179" s="26"/>
      <c r="H179" s="21"/>
      <c r="I179" s="21"/>
    </row>
    <row r="180" spans="1:9" x14ac:dyDescent="0.25">
      <c r="A180" s="28"/>
      <c r="B180" s="28"/>
      <c r="C180" s="2"/>
      <c r="D180" s="4"/>
      <c r="G180" s="26"/>
      <c r="H180" s="21"/>
      <c r="I180" s="21"/>
    </row>
    <row r="181" spans="1:9" x14ac:dyDescent="0.25">
      <c r="A181" s="28"/>
      <c r="B181" s="28"/>
      <c r="C181" s="2"/>
      <c r="D181" s="4"/>
      <c r="G181" s="26"/>
      <c r="H181" s="21"/>
      <c r="I181" s="21"/>
    </row>
    <row r="182" spans="1:9" x14ac:dyDescent="0.25">
      <c r="A182" s="28"/>
      <c r="B182" s="28"/>
      <c r="C182" s="2"/>
      <c r="D182" s="4"/>
      <c r="G182" s="26"/>
      <c r="H182" s="21"/>
      <c r="I182" s="21"/>
    </row>
    <row r="183" spans="1:9" x14ac:dyDescent="0.25">
      <c r="A183" s="28"/>
      <c r="B183" s="28"/>
      <c r="C183" s="2"/>
      <c r="D183" s="4"/>
      <c r="G183" s="26"/>
      <c r="H183" s="21"/>
      <c r="I183" s="21"/>
    </row>
    <row r="184" spans="1:9" x14ac:dyDescent="0.25">
      <c r="A184" s="28"/>
      <c r="B184" s="28"/>
      <c r="C184" s="2"/>
      <c r="D184" s="4"/>
      <c r="G184" s="26"/>
      <c r="H184" s="21"/>
      <c r="I184" s="21"/>
    </row>
    <row r="185" spans="1:9" x14ac:dyDescent="0.25">
      <c r="A185" s="28"/>
      <c r="B185" s="28"/>
      <c r="C185" s="2"/>
      <c r="D185" s="4"/>
      <c r="G185" s="26"/>
      <c r="H185" s="21"/>
      <c r="I185" s="21"/>
    </row>
    <row r="186" spans="1:9" x14ac:dyDescent="0.25">
      <c r="A186" s="28"/>
      <c r="B186" s="28"/>
      <c r="C186" s="2"/>
      <c r="D186" s="4"/>
      <c r="G186" s="26"/>
      <c r="H186" s="21"/>
      <c r="I186" s="21"/>
    </row>
    <row r="187" spans="1:9" x14ac:dyDescent="0.25">
      <c r="A187" s="28"/>
      <c r="B187" s="28"/>
      <c r="C187" s="2"/>
      <c r="D187" s="4"/>
      <c r="G187" s="26"/>
      <c r="H187" s="21"/>
      <c r="I187" s="21"/>
    </row>
    <row r="188" spans="1:9" x14ac:dyDescent="0.25">
      <c r="A188" s="28"/>
      <c r="B188" s="28"/>
      <c r="C188" s="2"/>
      <c r="D188" s="4"/>
      <c r="G188" s="26"/>
      <c r="H188" s="21"/>
      <c r="I188" s="21"/>
    </row>
    <row r="189" spans="1:9" x14ac:dyDescent="0.25">
      <c r="A189" s="28"/>
      <c r="B189" s="28"/>
      <c r="C189" s="2"/>
      <c r="D189" s="4"/>
      <c r="G189" s="26"/>
      <c r="H189" s="21"/>
      <c r="I189" s="21"/>
    </row>
    <row r="190" spans="1:9" x14ac:dyDescent="0.25">
      <c r="A190" s="28"/>
      <c r="B190" s="28"/>
      <c r="C190" s="2"/>
      <c r="D190" s="4"/>
      <c r="G190" s="26"/>
      <c r="H190" s="21"/>
      <c r="I190" s="21"/>
    </row>
    <row r="191" spans="1:9" x14ac:dyDescent="0.25">
      <c r="A191" s="28"/>
      <c r="B191" s="28"/>
      <c r="C191" s="2"/>
      <c r="D191" s="4"/>
      <c r="G191" s="26"/>
      <c r="H191" s="21"/>
      <c r="I191" s="21"/>
    </row>
    <row r="192" spans="1:9" x14ac:dyDescent="0.25">
      <c r="A192" s="28"/>
      <c r="B192" s="28"/>
      <c r="C192" s="2"/>
      <c r="D192" s="4"/>
      <c r="G192" s="26"/>
      <c r="H192" s="21"/>
      <c r="I192" s="21"/>
    </row>
    <row r="193" spans="1:9" x14ac:dyDescent="0.25">
      <c r="A193" s="28"/>
      <c r="B193" s="28"/>
      <c r="C193" s="2"/>
      <c r="D193" s="4"/>
      <c r="G193" s="26"/>
      <c r="H193" s="21"/>
      <c r="I193" s="21"/>
    </row>
    <row r="194" spans="1:9" x14ac:dyDescent="0.25">
      <c r="A194" s="28"/>
      <c r="B194" s="28"/>
      <c r="C194" s="2"/>
      <c r="D194" s="4"/>
      <c r="G194" s="26"/>
      <c r="H194" s="21"/>
      <c r="I194" s="21"/>
    </row>
    <row r="195" spans="1:9" x14ac:dyDescent="0.25">
      <c r="A195" s="28"/>
      <c r="B195" s="28"/>
      <c r="C195" s="2"/>
      <c r="D195" s="4"/>
      <c r="G195" s="26"/>
      <c r="H195" s="21"/>
      <c r="I195" s="21"/>
    </row>
    <row r="196" spans="1:9" x14ac:dyDescent="0.25">
      <c r="A196" s="28"/>
      <c r="B196" s="28"/>
      <c r="C196" s="2"/>
      <c r="D196" s="4"/>
      <c r="G196" s="26"/>
      <c r="H196" s="21"/>
      <c r="I196" s="21"/>
    </row>
    <row r="197" spans="1:9" x14ac:dyDescent="0.25">
      <c r="A197" s="28"/>
      <c r="B197" s="28"/>
      <c r="C197" s="2"/>
      <c r="D197" s="4"/>
      <c r="G197" s="26"/>
      <c r="H197" s="21"/>
      <c r="I197" s="21"/>
    </row>
    <row r="198" spans="1:9" x14ac:dyDescent="0.25">
      <c r="A198" s="28"/>
      <c r="B198" s="28"/>
      <c r="C198" s="2"/>
      <c r="D198" s="4"/>
      <c r="G198" s="26"/>
      <c r="H198" s="21"/>
      <c r="I198" s="21"/>
    </row>
    <row r="199" spans="1:9" x14ac:dyDescent="0.25">
      <c r="A199" s="28"/>
      <c r="B199" s="28"/>
      <c r="C199" s="2"/>
      <c r="D199" s="4"/>
      <c r="G199" s="26"/>
      <c r="H199" s="21"/>
      <c r="I199" s="21"/>
    </row>
    <row r="200" spans="1:9" x14ac:dyDescent="0.25">
      <c r="A200" s="28"/>
      <c r="B200" s="28"/>
      <c r="C200" s="2"/>
      <c r="D200" s="4"/>
      <c r="G200" s="26"/>
      <c r="H200" s="21"/>
      <c r="I200" s="21"/>
    </row>
    <row r="201" spans="1:9" x14ac:dyDescent="0.25">
      <c r="A201" s="28"/>
      <c r="B201" s="28"/>
      <c r="C201" s="2"/>
      <c r="D201" s="4"/>
      <c r="G201" s="26"/>
      <c r="H201" s="21"/>
      <c r="I201" s="21"/>
    </row>
    <row r="202" spans="1:9" x14ac:dyDescent="0.25">
      <c r="A202" s="28"/>
      <c r="B202" s="28"/>
      <c r="C202" s="2"/>
      <c r="D202" s="4"/>
      <c r="G202" s="26"/>
      <c r="H202" s="21"/>
      <c r="I202" s="21"/>
    </row>
    <row r="203" spans="1:9" x14ac:dyDescent="0.25">
      <c r="A203" s="28"/>
      <c r="B203" s="28"/>
      <c r="C203" s="2"/>
      <c r="D203" s="4"/>
      <c r="G203" s="26"/>
      <c r="H203" s="21"/>
      <c r="I203" s="21"/>
    </row>
    <row r="204" spans="1:9" x14ac:dyDescent="0.25">
      <c r="A204" s="28"/>
      <c r="B204" s="28"/>
      <c r="C204" s="2"/>
      <c r="D204" s="4"/>
      <c r="G204" s="26"/>
      <c r="H204" s="21"/>
      <c r="I204" s="21"/>
    </row>
    <row r="205" spans="1:9" x14ac:dyDescent="0.25">
      <c r="A205" s="28"/>
      <c r="B205" s="28"/>
      <c r="C205" s="2"/>
      <c r="D205" s="4"/>
      <c r="G205" s="26"/>
      <c r="H205" s="21"/>
      <c r="I205" s="21"/>
    </row>
    <row r="206" spans="1:9" x14ac:dyDescent="0.25">
      <c r="A206" s="28"/>
      <c r="B206" s="28"/>
      <c r="C206" s="2"/>
      <c r="D206" s="4"/>
      <c r="G206" s="26"/>
      <c r="H206" s="21"/>
      <c r="I206" s="21"/>
    </row>
    <row r="207" spans="1:9" x14ac:dyDescent="0.25">
      <c r="A207" s="28"/>
      <c r="B207" s="28"/>
      <c r="C207" s="2"/>
      <c r="D207" s="4"/>
      <c r="G207" s="26"/>
      <c r="H207" s="21"/>
      <c r="I207" s="21"/>
    </row>
    <row r="208" spans="1:9" x14ac:dyDescent="0.25">
      <c r="A208" s="28"/>
      <c r="B208" s="28"/>
      <c r="C208" s="2"/>
      <c r="D208" s="4"/>
      <c r="G208" s="26"/>
      <c r="H208" s="21"/>
      <c r="I208" s="21"/>
    </row>
    <row r="209" spans="1:9" x14ac:dyDescent="0.25">
      <c r="A209" s="28"/>
      <c r="B209" s="28"/>
      <c r="C209" s="2"/>
      <c r="D209" s="4"/>
      <c r="G209" s="26"/>
      <c r="H209" s="21"/>
      <c r="I209" s="21"/>
    </row>
    <row r="210" spans="1:9" x14ac:dyDescent="0.25">
      <c r="A210" s="28"/>
      <c r="B210" s="28"/>
      <c r="C210" s="2"/>
      <c r="D210" s="4"/>
      <c r="G210" s="26"/>
      <c r="H210" s="21"/>
      <c r="I210" s="21"/>
    </row>
    <row r="211" spans="1:9" x14ac:dyDescent="0.25">
      <c r="A211" s="28"/>
      <c r="B211" s="28"/>
      <c r="C211" s="2"/>
      <c r="D211" s="4"/>
      <c r="G211" s="26"/>
      <c r="H211" s="21"/>
      <c r="I211" s="21"/>
    </row>
    <row r="212" spans="1:9" x14ac:dyDescent="0.25">
      <c r="A212" s="28"/>
      <c r="B212" s="28"/>
      <c r="C212" s="2"/>
      <c r="D212" s="4"/>
      <c r="G212" s="26"/>
      <c r="H212" s="21"/>
      <c r="I212" s="21"/>
    </row>
    <row r="213" spans="1:9" x14ac:dyDescent="0.25">
      <c r="A213" s="28"/>
      <c r="B213" s="28"/>
      <c r="C213" s="2"/>
      <c r="D213" s="4"/>
      <c r="G213" s="26"/>
      <c r="H213" s="21"/>
      <c r="I213" s="21"/>
    </row>
    <row r="214" spans="1:9" x14ac:dyDescent="0.25">
      <c r="A214" s="28"/>
      <c r="B214" s="28"/>
      <c r="C214" s="2"/>
      <c r="D214" s="4"/>
      <c r="G214" s="26"/>
      <c r="H214" s="21"/>
      <c r="I214" s="21"/>
    </row>
    <row r="215" spans="1:9" x14ac:dyDescent="0.25">
      <c r="A215" s="28"/>
      <c r="B215" s="28"/>
      <c r="C215" s="2"/>
      <c r="D215" s="4"/>
      <c r="G215" s="26"/>
      <c r="H215" s="21"/>
      <c r="I215" s="21"/>
    </row>
    <row r="216" spans="1:9" x14ac:dyDescent="0.25">
      <c r="A216" s="28"/>
      <c r="B216" s="28"/>
      <c r="C216" s="2"/>
      <c r="D216" s="4"/>
      <c r="G216" s="26"/>
      <c r="H216" s="21"/>
      <c r="I216" s="21"/>
    </row>
    <row r="217" spans="1:9" x14ac:dyDescent="0.25">
      <c r="A217" s="28"/>
      <c r="B217" s="28"/>
      <c r="C217" s="2"/>
      <c r="D217" s="4"/>
      <c r="G217" s="26"/>
      <c r="H217" s="21"/>
      <c r="I217" s="21"/>
    </row>
    <row r="218" spans="1:9" x14ac:dyDescent="0.25">
      <c r="A218" s="28"/>
      <c r="B218" s="28"/>
      <c r="C218" s="2"/>
      <c r="D218" s="4"/>
      <c r="G218" s="26"/>
      <c r="H218" s="21"/>
      <c r="I218" s="21"/>
    </row>
    <row r="219" spans="1:9" x14ac:dyDescent="0.25">
      <c r="A219" s="28"/>
      <c r="B219" s="28"/>
      <c r="C219" s="2"/>
      <c r="D219" s="4"/>
      <c r="G219" s="26"/>
      <c r="H219" s="21"/>
      <c r="I219" s="21"/>
    </row>
    <row r="220" spans="1:9" x14ac:dyDescent="0.25">
      <c r="A220" s="28"/>
      <c r="B220" s="28"/>
      <c r="C220" s="2"/>
      <c r="D220" s="4"/>
      <c r="G220" s="26"/>
      <c r="H220" s="21"/>
      <c r="I220" s="21"/>
    </row>
    <row r="221" spans="1:9" x14ac:dyDescent="0.25">
      <c r="A221" s="28"/>
      <c r="B221" s="28"/>
      <c r="C221" s="2"/>
      <c r="D221" s="4"/>
      <c r="G221" s="26"/>
      <c r="H221" s="21"/>
      <c r="I221" s="21"/>
    </row>
    <row r="222" spans="1:9" x14ac:dyDescent="0.25">
      <c r="A222" s="28"/>
      <c r="B222" s="28"/>
      <c r="C222" s="2"/>
      <c r="D222" s="4"/>
      <c r="G222" s="26"/>
      <c r="H222" s="21"/>
      <c r="I222" s="21"/>
    </row>
    <row r="223" spans="1:9" x14ac:dyDescent="0.25">
      <c r="A223" s="28"/>
      <c r="B223" s="28"/>
      <c r="C223" s="2"/>
      <c r="D223" s="4"/>
      <c r="G223" s="26"/>
      <c r="H223" s="21"/>
      <c r="I223" s="21"/>
    </row>
    <row r="224" spans="1:9" x14ac:dyDescent="0.25">
      <c r="A224" s="28"/>
      <c r="B224" s="28"/>
      <c r="C224" s="2"/>
      <c r="D224" s="4"/>
      <c r="G224" s="26"/>
      <c r="H224" s="21"/>
      <c r="I224" s="21"/>
    </row>
    <row r="225" spans="1:9" x14ac:dyDescent="0.25">
      <c r="A225" s="28"/>
      <c r="B225" s="28"/>
      <c r="C225" s="2"/>
      <c r="D225" s="4"/>
      <c r="G225" s="26"/>
      <c r="H225" s="21"/>
      <c r="I225" s="21"/>
    </row>
    <row r="226" spans="1:9" x14ac:dyDescent="0.25">
      <c r="A226" s="28"/>
      <c r="B226" s="28"/>
      <c r="C226" s="2"/>
      <c r="D226" s="4"/>
      <c r="G226" s="26"/>
      <c r="H226" s="21"/>
      <c r="I226" s="21"/>
    </row>
    <row r="227" spans="1:9" x14ac:dyDescent="0.25">
      <c r="A227" s="28"/>
      <c r="B227" s="28"/>
      <c r="C227" s="2"/>
      <c r="D227" s="4"/>
      <c r="G227" s="26"/>
      <c r="H227" s="21"/>
      <c r="I227" s="21"/>
    </row>
    <row r="228" spans="1:9" x14ac:dyDescent="0.25">
      <c r="A228" s="28"/>
      <c r="B228" s="28"/>
      <c r="C228" s="2"/>
      <c r="D228" s="4"/>
      <c r="G228" s="26"/>
      <c r="H228" s="21"/>
      <c r="I228" s="21"/>
    </row>
    <row r="229" spans="1:9" x14ac:dyDescent="0.25">
      <c r="A229" s="28"/>
      <c r="B229" s="28"/>
      <c r="C229" s="2"/>
      <c r="D229" s="4"/>
      <c r="G229" s="26"/>
      <c r="H229" s="21"/>
      <c r="I229" s="21"/>
    </row>
    <row r="230" spans="1:9" x14ac:dyDescent="0.25">
      <c r="A230" s="28"/>
      <c r="B230" s="28"/>
      <c r="C230" s="2"/>
      <c r="D230" s="4"/>
      <c r="G230" s="26"/>
      <c r="H230" s="21"/>
      <c r="I230" s="21"/>
    </row>
    <row r="231" spans="1:9" x14ac:dyDescent="0.25">
      <c r="A231" s="28"/>
      <c r="B231" s="28"/>
      <c r="C231" s="2"/>
      <c r="D231" s="4"/>
      <c r="G231" s="26"/>
      <c r="H231" s="21"/>
      <c r="I231" s="21"/>
    </row>
    <row r="232" spans="1:9" x14ac:dyDescent="0.25">
      <c r="A232" s="28"/>
      <c r="B232" s="28"/>
      <c r="C232" s="2"/>
      <c r="D232" s="4"/>
      <c r="G232" s="26"/>
      <c r="H232" s="21"/>
      <c r="I232" s="21"/>
    </row>
    <row r="233" spans="1:9" x14ac:dyDescent="0.25">
      <c r="A233" s="28"/>
      <c r="B233" s="28"/>
      <c r="C233" s="2"/>
      <c r="D233" s="4"/>
      <c r="G233" s="26"/>
      <c r="H233" s="21"/>
      <c r="I233" s="21"/>
    </row>
    <row r="234" spans="1:9" x14ac:dyDescent="0.25">
      <c r="A234" s="28"/>
      <c r="B234" s="28"/>
      <c r="C234" s="2"/>
      <c r="D234" s="4"/>
      <c r="G234" s="26"/>
      <c r="H234" s="21"/>
      <c r="I234" s="21"/>
    </row>
    <row r="235" spans="1:9" x14ac:dyDescent="0.25">
      <c r="A235" s="28"/>
      <c r="B235" s="28"/>
      <c r="C235" s="2"/>
      <c r="D235" s="4"/>
      <c r="G235" s="26"/>
      <c r="H235" s="21"/>
      <c r="I235" s="21"/>
    </row>
    <row r="236" spans="1:9" x14ac:dyDescent="0.25">
      <c r="A236" s="28"/>
      <c r="B236" s="28"/>
      <c r="C236" s="2"/>
      <c r="D236" s="4"/>
      <c r="G236" s="26"/>
      <c r="H236" s="21"/>
      <c r="I236" s="21"/>
    </row>
    <row r="237" spans="1:9" x14ac:dyDescent="0.25">
      <c r="A237" s="28"/>
      <c r="B237" s="28"/>
      <c r="C237" s="2"/>
      <c r="D237" s="4"/>
      <c r="G237" s="26"/>
      <c r="H237" s="21"/>
      <c r="I237" s="21"/>
    </row>
    <row r="238" spans="1:9" x14ac:dyDescent="0.25">
      <c r="A238" s="28"/>
      <c r="B238" s="28"/>
      <c r="C238" s="2"/>
      <c r="D238" s="4"/>
      <c r="G238" s="26"/>
      <c r="H238" s="21"/>
      <c r="I238" s="21"/>
    </row>
    <row r="239" spans="1:9" x14ac:dyDescent="0.25">
      <c r="A239" s="28"/>
      <c r="B239" s="28"/>
      <c r="C239" s="2"/>
      <c r="D239" s="4"/>
      <c r="G239" s="26"/>
      <c r="H239" s="21"/>
      <c r="I239" s="21"/>
    </row>
    <row r="240" spans="1:9" x14ac:dyDescent="0.25">
      <c r="A240" s="28"/>
      <c r="B240" s="28"/>
      <c r="C240" s="2"/>
      <c r="D240" s="4"/>
      <c r="G240" s="26"/>
      <c r="H240" s="21"/>
      <c r="I240" s="21"/>
    </row>
    <row r="241" spans="1:9" x14ac:dyDescent="0.25">
      <c r="A241" s="28"/>
      <c r="B241" s="28"/>
      <c r="C241" s="2"/>
      <c r="D241" s="4"/>
      <c r="G241" s="26"/>
      <c r="H241" s="21"/>
      <c r="I241" s="21"/>
    </row>
    <row r="242" spans="1:9" x14ac:dyDescent="0.25">
      <c r="A242" s="28"/>
      <c r="B242" s="28"/>
      <c r="C242" s="2"/>
      <c r="D242" s="4"/>
      <c r="G242" s="26"/>
      <c r="H242" s="21"/>
      <c r="I242" s="21"/>
    </row>
    <row r="243" spans="1:9" x14ac:dyDescent="0.25">
      <c r="A243" s="28"/>
      <c r="B243" s="28"/>
      <c r="C243" s="2"/>
      <c r="D243" s="4"/>
      <c r="G243" s="26"/>
      <c r="H243" s="21"/>
      <c r="I243" s="21"/>
    </row>
    <row r="244" spans="1:9" x14ac:dyDescent="0.25">
      <c r="A244" s="28"/>
      <c r="B244" s="28"/>
      <c r="C244" s="2"/>
      <c r="D244" s="4"/>
      <c r="G244" s="26"/>
      <c r="H244" s="21"/>
      <c r="I244" s="21"/>
    </row>
    <row r="245" spans="1:9" x14ac:dyDescent="0.25">
      <c r="A245" s="28"/>
      <c r="B245" s="28"/>
      <c r="C245" s="2"/>
      <c r="D245" s="4"/>
      <c r="G245" s="26"/>
      <c r="H245" s="21"/>
      <c r="I245" s="21"/>
    </row>
    <row r="246" spans="1:9" x14ac:dyDescent="0.25">
      <c r="A246" s="28"/>
      <c r="B246" s="28"/>
      <c r="C246" s="2"/>
      <c r="D246" s="4"/>
      <c r="G246" s="26"/>
      <c r="H246" s="21"/>
      <c r="I246" s="21"/>
    </row>
    <row r="247" spans="1:9" x14ac:dyDescent="0.25">
      <c r="A247" s="28"/>
      <c r="B247" s="28"/>
      <c r="C247" s="2"/>
      <c r="D247" s="4"/>
      <c r="G247" s="26"/>
      <c r="H247" s="21"/>
      <c r="I247" s="21"/>
    </row>
    <row r="248" spans="1:9" x14ac:dyDescent="0.25">
      <c r="A248" s="28"/>
      <c r="B248" s="28"/>
      <c r="C248" s="2"/>
      <c r="D248" s="4"/>
      <c r="G248" s="26"/>
      <c r="H248" s="21"/>
      <c r="I248" s="21"/>
    </row>
    <row r="249" spans="1:9" x14ac:dyDescent="0.25">
      <c r="A249" s="28"/>
      <c r="B249" s="28"/>
      <c r="C249" s="2"/>
      <c r="D249" s="4"/>
      <c r="G249" s="26"/>
      <c r="H249" s="21"/>
      <c r="I249" s="21"/>
    </row>
    <row r="250" spans="1:9" x14ac:dyDescent="0.25">
      <c r="A250" s="28"/>
      <c r="B250" s="28"/>
      <c r="C250" s="2"/>
      <c r="D250" s="4"/>
      <c r="G250" s="26"/>
      <c r="H250" s="21"/>
      <c r="I250" s="21"/>
    </row>
    <row r="251" spans="1:9" x14ac:dyDescent="0.25">
      <c r="A251" s="28"/>
      <c r="B251" s="28"/>
      <c r="C251" s="2"/>
      <c r="D251" s="4"/>
      <c r="G251" s="26"/>
      <c r="H251" s="21"/>
      <c r="I251" s="21"/>
    </row>
    <row r="252" spans="1:9" x14ac:dyDescent="0.25">
      <c r="A252" s="28"/>
      <c r="B252" s="28"/>
      <c r="C252" s="2"/>
      <c r="D252" s="4"/>
      <c r="G252" s="26"/>
      <c r="H252" s="21"/>
      <c r="I252" s="21"/>
    </row>
    <row r="253" spans="1:9" x14ac:dyDescent="0.25">
      <c r="A253" s="28"/>
      <c r="B253" s="28"/>
      <c r="C253" s="2"/>
      <c r="D253" s="4"/>
      <c r="G253" s="26"/>
      <c r="H253" s="21"/>
      <c r="I253" s="21"/>
    </row>
    <row r="254" spans="1:9" x14ac:dyDescent="0.25">
      <c r="A254" s="28"/>
      <c r="B254" s="28"/>
      <c r="C254" s="2"/>
      <c r="D254" s="4"/>
      <c r="G254" s="26"/>
      <c r="H254" s="21"/>
      <c r="I254" s="21"/>
    </row>
    <row r="255" spans="1:9" x14ac:dyDescent="0.25">
      <c r="A255" s="28"/>
      <c r="B255" s="28"/>
      <c r="C255" s="2"/>
      <c r="D255" s="4"/>
      <c r="G255" s="26"/>
      <c r="H255" s="21"/>
      <c r="I255" s="21"/>
    </row>
    <row r="256" spans="1:9" x14ac:dyDescent="0.25">
      <c r="A256" s="28"/>
      <c r="B256" s="28"/>
      <c r="C256" s="2"/>
      <c r="D256" s="4"/>
      <c r="G256" s="26"/>
      <c r="H256" s="21"/>
      <c r="I256" s="21"/>
    </row>
    <row r="257" spans="1:9" x14ac:dyDescent="0.25">
      <c r="A257" s="28"/>
      <c r="B257" s="28"/>
      <c r="C257" s="2"/>
      <c r="D257" s="4"/>
      <c r="G257" s="26"/>
      <c r="H257" s="21"/>
      <c r="I257" s="21"/>
    </row>
    <row r="258" spans="1:9" x14ac:dyDescent="0.25">
      <c r="A258" s="28"/>
      <c r="B258" s="28"/>
      <c r="C258" s="2"/>
      <c r="D258" s="4"/>
      <c r="G258" s="26"/>
      <c r="H258" s="21"/>
      <c r="I258" s="21"/>
    </row>
    <row r="259" spans="1:9" x14ac:dyDescent="0.25">
      <c r="A259" s="28"/>
      <c r="B259" s="28"/>
      <c r="C259" s="2"/>
      <c r="D259" s="4"/>
      <c r="G259" s="26"/>
      <c r="H259" s="21"/>
      <c r="I259" s="21"/>
    </row>
    <row r="260" spans="1:9" x14ac:dyDescent="0.25">
      <c r="A260" s="28"/>
      <c r="B260" s="28"/>
      <c r="C260" s="2"/>
      <c r="D260" s="4"/>
      <c r="G260" s="26"/>
      <c r="H260" s="21"/>
      <c r="I260" s="21"/>
    </row>
    <row r="261" spans="1:9" x14ac:dyDescent="0.25">
      <c r="A261" s="28"/>
      <c r="B261" s="28"/>
      <c r="C261" s="2"/>
      <c r="D261" s="4"/>
      <c r="G261" s="26"/>
      <c r="H261" s="21"/>
      <c r="I261" s="21"/>
    </row>
    <row r="262" spans="1:9" x14ac:dyDescent="0.25">
      <c r="A262" s="28"/>
      <c r="B262" s="28"/>
      <c r="C262" s="2"/>
      <c r="D262" s="4"/>
      <c r="G262" s="26"/>
      <c r="H262" s="21"/>
      <c r="I262" s="21"/>
    </row>
    <row r="263" spans="1:9" x14ac:dyDescent="0.25">
      <c r="A263" s="28"/>
      <c r="B263" s="28"/>
      <c r="C263" s="2"/>
      <c r="D263" s="4"/>
      <c r="G263" s="26"/>
      <c r="H263" s="21"/>
      <c r="I263" s="21"/>
    </row>
    <row r="264" spans="1:9" x14ac:dyDescent="0.25">
      <c r="A264" s="28"/>
      <c r="B264" s="28"/>
      <c r="C264" s="2"/>
      <c r="D264" s="4"/>
      <c r="G264" s="26"/>
      <c r="H264" s="21"/>
      <c r="I264" s="21"/>
    </row>
    <row r="265" spans="1:9" x14ac:dyDescent="0.25">
      <c r="A265" s="28"/>
      <c r="B265" s="28"/>
      <c r="C265" s="2"/>
      <c r="D265" s="4"/>
      <c r="G265" s="26"/>
      <c r="H265" s="21"/>
      <c r="I265" s="21"/>
    </row>
    <row r="266" spans="1:9" x14ac:dyDescent="0.25">
      <c r="A266" s="28"/>
      <c r="B266" s="28"/>
      <c r="C266" s="2"/>
      <c r="D266" s="4"/>
      <c r="G266" s="26"/>
      <c r="H266" s="21"/>
      <c r="I266" s="21"/>
    </row>
    <row r="267" spans="1:9" x14ac:dyDescent="0.25">
      <c r="A267" s="28"/>
      <c r="B267" s="28"/>
      <c r="C267" s="2"/>
      <c r="D267" s="4"/>
      <c r="G267" s="26"/>
      <c r="H267" s="21"/>
      <c r="I267" s="21"/>
    </row>
    <row r="268" spans="1:9" x14ac:dyDescent="0.25">
      <c r="A268" s="28"/>
      <c r="B268" s="28"/>
      <c r="C268" s="2"/>
      <c r="D268" s="4"/>
      <c r="G268" s="26"/>
      <c r="H268" s="21"/>
      <c r="I268" s="21"/>
    </row>
    <row r="269" spans="1:9" x14ac:dyDescent="0.25">
      <c r="A269" s="28"/>
      <c r="B269" s="28"/>
      <c r="C269" s="2"/>
      <c r="D269" s="4"/>
      <c r="G269" s="26"/>
      <c r="H269" s="21"/>
      <c r="I269" s="21"/>
    </row>
    <row r="270" spans="1:9" x14ac:dyDescent="0.25">
      <c r="A270" s="28"/>
      <c r="B270" s="28"/>
      <c r="C270" s="2"/>
      <c r="D270" s="4"/>
      <c r="G270" s="26"/>
      <c r="H270" s="21"/>
      <c r="I270" s="21"/>
    </row>
    <row r="271" spans="1:9" x14ac:dyDescent="0.25">
      <c r="A271" s="28"/>
      <c r="B271" s="28"/>
      <c r="C271" s="2"/>
      <c r="D271" s="4"/>
      <c r="G271" s="26"/>
      <c r="H271" s="21"/>
      <c r="I271" s="21"/>
    </row>
    <row r="272" spans="1:9" x14ac:dyDescent="0.25">
      <c r="A272" s="28"/>
      <c r="B272" s="28"/>
      <c r="C272" s="2"/>
      <c r="D272" s="4"/>
      <c r="G272" s="26"/>
      <c r="H272" s="21"/>
      <c r="I272" s="21"/>
    </row>
    <row r="273" spans="1:9" x14ac:dyDescent="0.25">
      <c r="A273" s="28"/>
      <c r="B273" s="28"/>
      <c r="C273" s="2"/>
      <c r="D273" s="4"/>
      <c r="G273" s="26"/>
      <c r="H273" s="21"/>
      <c r="I273" s="21"/>
    </row>
    <row r="274" spans="1:9" x14ac:dyDescent="0.25">
      <c r="A274" s="28"/>
      <c r="B274" s="28"/>
      <c r="C274" s="2"/>
      <c r="D274" s="4"/>
      <c r="G274" s="26"/>
      <c r="H274" s="21"/>
      <c r="I274" s="21"/>
    </row>
    <row r="275" spans="1:9" x14ac:dyDescent="0.25">
      <c r="A275" s="28"/>
      <c r="B275" s="28"/>
      <c r="C275" s="2"/>
      <c r="D275" s="4"/>
      <c r="G275" s="26"/>
      <c r="H275" s="21"/>
      <c r="I275" s="21"/>
    </row>
    <row r="276" spans="1:9" x14ac:dyDescent="0.25">
      <c r="A276" s="28"/>
      <c r="B276" s="28"/>
      <c r="C276" s="2"/>
      <c r="D276" s="4"/>
      <c r="G276" s="26"/>
      <c r="H276" s="21"/>
      <c r="I276" s="21"/>
    </row>
    <row r="277" spans="1:9" x14ac:dyDescent="0.25">
      <c r="A277" s="28"/>
      <c r="B277" s="28"/>
      <c r="C277" s="2"/>
      <c r="D277" s="4"/>
      <c r="G277" s="26"/>
      <c r="H277" s="21"/>
      <c r="I277" s="21"/>
    </row>
    <row r="278" spans="1:9" x14ac:dyDescent="0.25">
      <c r="A278" s="28"/>
      <c r="B278" s="28"/>
      <c r="C278" s="2"/>
      <c r="D278" s="4"/>
      <c r="G278" s="26"/>
      <c r="H278" s="21"/>
      <c r="I278" s="21"/>
    </row>
    <row r="279" spans="1:9" x14ac:dyDescent="0.25">
      <c r="A279" s="28"/>
      <c r="B279" s="28"/>
      <c r="C279" s="2"/>
      <c r="D279" s="4"/>
      <c r="G279" s="26"/>
      <c r="H279" s="21"/>
      <c r="I279" s="21"/>
    </row>
    <row r="280" spans="1:9" x14ac:dyDescent="0.25">
      <c r="A280" s="28"/>
      <c r="B280" s="28"/>
      <c r="C280" s="2"/>
      <c r="D280" s="4"/>
      <c r="G280" s="26"/>
      <c r="H280" s="21"/>
      <c r="I280" s="21"/>
    </row>
    <row r="281" spans="1:9" x14ac:dyDescent="0.25">
      <c r="A281" s="28"/>
      <c r="B281" s="28"/>
      <c r="C281" s="2"/>
      <c r="D281" s="4"/>
      <c r="G281" s="26"/>
      <c r="H281" s="21"/>
      <c r="I281" s="21"/>
    </row>
    <row r="282" spans="1:9" x14ac:dyDescent="0.25">
      <c r="A282" s="28"/>
      <c r="B282" s="28"/>
      <c r="C282" s="2"/>
      <c r="D282" s="4"/>
      <c r="G282" s="26"/>
      <c r="H282" s="21"/>
      <c r="I282" s="21"/>
    </row>
    <row r="283" spans="1:9" x14ac:dyDescent="0.25">
      <c r="A283" s="28"/>
      <c r="B283" s="28"/>
      <c r="C283" s="2"/>
      <c r="D283" s="4"/>
      <c r="G283" s="26"/>
      <c r="H283" s="21"/>
      <c r="I283" s="21"/>
    </row>
    <row r="284" spans="1:9" x14ac:dyDescent="0.25">
      <c r="A284" s="28"/>
      <c r="B284" s="28"/>
      <c r="C284" s="2"/>
      <c r="D284" s="4"/>
      <c r="G284" s="26"/>
      <c r="H284" s="21"/>
      <c r="I284" s="21"/>
    </row>
    <row r="285" spans="1:9" x14ac:dyDescent="0.25">
      <c r="A285" s="28"/>
      <c r="B285" s="28"/>
      <c r="C285" s="2"/>
      <c r="D285" s="4"/>
      <c r="G285" s="26"/>
      <c r="H285" s="21"/>
      <c r="I285" s="21"/>
    </row>
    <row r="286" spans="1:9" x14ac:dyDescent="0.25">
      <c r="A286" s="28"/>
      <c r="B286" s="28"/>
      <c r="C286" s="2"/>
      <c r="D286" s="4"/>
      <c r="G286" s="26"/>
      <c r="H286" s="21"/>
      <c r="I286" s="21"/>
    </row>
    <row r="287" spans="1:9" x14ac:dyDescent="0.25">
      <c r="H287" s="21"/>
      <c r="I287" s="21"/>
    </row>
    <row r="288" spans="1:9" x14ac:dyDescent="0.25">
      <c r="H288" s="21"/>
      <c r="I288" s="21"/>
    </row>
    <row r="289" spans="8:9" x14ac:dyDescent="0.25">
      <c r="H289" s="21"/>
      <c r="I289" s="21"/>
    </row>
    <row r="290" spans="8:9" x14ac:dyDescent="0.25">
      <c r="H290" s="21"/>
      <c r="I290" s="21"/>
    </row>
    <row r="291" spans="8:9" x14ac:dyDescent="0.25">
      <c r="H291" s="21"/>
      <c r="I291" s="21"/>
    </row>
    <row r="292" spans="8:9" x14ac:dyDescent="0.25">
      <c r="H292" s="21"/>
      <c r="I292" s="21"/>
    </row>
    <row r="293" spans="8:9" x14ac:dyDescent="0.25">
      <c r="H293" s="21"/>
      <c r="I293" s="21"/>
    </row>
    <row r="294" spans="8:9" x14ac:dyDescent="0.25">
      <c r="H294" s="21"/>
      <c r="I294" s="21"/>
    </row>
    <row r="295" spans="8:9" x14ac:dyDescent="0.25">
      <c r="H295" s="21"/>
      <c r="I295" s="21"/>
    </row>
    <row r="296" spans="8:9" x14ac:dyDescent="0.25">
      <c r="H296" s="21"/>
      <c r="I296" s="21"/>
    </row>
    <row r="297" spans="8:9" x14ac:dyDescent="0.25">
      <c r="H297" s="21"/>
      <c r="I297" s="21"/>
    </row>
    <row r="298" spans="8:9" x14ac:dyDescent="0.25">
      <c r="H298" s="21"/>
      <c r="I298" s="21"/>
    </row>
    <row r="299" spans="8:9" x14ac:dyDescent="0.25">
      <c r="H299" s="21"/>
      <c r="I299" s="21"/>
    </row>
    <row r="300" spans="8:9" x14ac:dyDescent="0.25">
      <c r="H300" s="21"/>
      <c r="I300" s="21"/>
    </row>
    <row r="301" spans="8:9" x14ac:dyDescent="0.25">
      <c r="H301" s="21"/>
      <c r="I301" s="21"/>
    </row>
    <row r="302" spans="8:9" x14ac:dyDescent="0.25">
      <c r="H302" s="21"/>
      <c r="I302" s="21"/>
    </row>
    <row r="303" spans="8:9" x14ac:dyDescent="0.25">
      <c r="H303" s="21"/>
      <c r="I303" s="21"/>
    </row>
    <row r="304" spans="8:9" x14ac:dyDescent="0.25">
      <c r="H304" s="21"/>
      <c r="I304" s="21"/>
    </row>
    <row r="305" spans="8:9" x14ac:dyDescent="0.25">
      <c r="H305" s="21"/>
      <c r="I305" s="21"/>
    </row>
    <row r="306" spans="8:9" x14ac:dyDescent="0.25">
      <c r="H306" s="21"/>
      <c r="I306" s="21"/>
    </row>
    <row r="307" spans="8:9" x14ac:dyDescent="0.25">
      <c r="H307" s="21"/>
      <c r="I307" s="21"/>
    </row>
    <row r="308" spans="8:9" x14ac:dyDescent="0.25">
      <c r="H308" s="21"/>
      <c r="I308" s="21"/>
    </row>
    <row r="309" spans="8:9" x14ac:dyDescent="0.25">
      <c r="H309" s="21"/>
      <c r="I309" s="21"/>
    </row>
    <row r="310" spans="8:9" x14ac:dyDescent="0.25">
      <c r="H310" s="21"/>
      <c r="I310" s="21"/>
    </row>
    <row r="311" spans="8:9" x14ac:dyDescent="0.25">
      <c r="H311" s="21"/>
      <c r="I311" s="21"/>
    </row>
    <row r="312" spans="8:9" x14ac:dyDescent="0.25">
      <c r="H312" s="21"/>
      <c r="I312" s="21"/>
    </row>
    <row r="313" spans="8:9" x14ac:dyDescent="0.25">
      <c r="H313" s="21"/>
      <c r="I313" s="21"/>
    </row>
    <row r="314" spans="8:9" x14ac:dyDescent="0.25">
      <c r="H314" s="21"/>
      <c r="I314" s="21"/>
    </row>
    <row r="315" spans="8:9" x14ac:dyDescent="0.25">
      <c r="H315" s="21"/>
      <c r="I315" s="21"/>
    </row>
    <row r="316" spans="8:9" x14ac:dyDescent="0.25">
      <c r="H316" s="21"/>
      <c r="I316" s="21"/>
    </row>
    <row r="317" spans="8:9" x14ac:dyDescent="0.25">
      <c r="H317" s="21"/>
      <c r="I317" s="21"/>
    </row>
    <row r="318" spans="8:9" x14ac:dyDescent="0.25">
      <c r="H318" s="21"/>
      <c r="I318" s="21"/>
    </row>
    <row r="319" spans="8:9" x14ac:dyDescent="0.25">
      <c r="H319" s="21"/>
      <c r="I319" s="21"/>
    </row>
    <row r="320" spans="8:9" x14ac:dyDescent="0.25">
      <c r="H320" s="21"/>
      <c r="I320" s="21"/>
    </row>
    <row r="321" spans="8:9" x14ac:dyDescent="0.25">
      <c r="H321" s="21"/>
      <c r="I321" s="21"/>
    </row>
    <row r="322" spans="8:9" x14ac:dyDescent="0.25">
      <c r="H322" s="21"/>
      <c r="I322" s="21"/>
    </row>
    <row r="323" spans="8:9" x14ac:dyDescent="0.25">
      <c r="H323" s="21"/>
      <c r="I323" s="21"/>
    </row>
    <row r="324" spans="8:9" x14ac:dyDescent="0.25">
      <c r="H324" s="21"/>
      <c r="I324" s="21"/>
    </row>
    <row r="325" spans="8:9" x14ac:dyDescent="0.25">
      <c r="H325" s="21"/>
      <c r="I325" s="21"/>
    </row>
    <row r="326" spans="8:9" x14ac:dyDescent="0.25">
      <c r="H326" s="21"/>
      <c r="I326" s="21"/>
    </row>
    <row r="327" spans="8:9" x14ac:dyDescent="0.25">
      <c r="H327" s="21"/>
      <c r="I327" s="21"/>
    </row>
    <row r="328" spans="8:9" x14ac:dyDescent="0.25">
      <c r="H328" s="21"/>
      <c r="I328" s="21"/>
    </row>
    <row r="329" spans="8:9" x14ac:dyDescent="0.25">
      <c r="H329" s="21"/>
      <c r="I329" s="21"/>
    </row>
    <row r="330" spans="8:9" x14ac:dyDescent="0.25">
      <c r="H330" s="21"/>
      <c r="I330" s="21"/>
    </row>
    <row r="331" spans="8:9" x14ac:dyDescent="0.25">
      <c r="H331" s="21"/>
      <c r="I331" s="21"/>
    </row>
    <row r="332" spans="8:9" x14ac:dyDescent="0.25">
      <c r="H332" s="21"/>
      <c r="I332" s="21"/>
    </row>
    <row r="333" spans="8:9" x14ac:dyDescent="0.25">
      <c r="H333" s="21"/>
      <c r="I333" s="21"/>
    </row>
    <row r="334" spans="8:9" x14ac:dyDescent="0.25">
      <c r="H334" s="21"/>
      <c r="I334" s="21"/>
    </row>
    <row r="335" spans="8:9" x14ac:dyDescent="0.25">
      <c r="H335" s="21"/>
      <c r="I335" s="21"/>
    </row>
    <row r="336" spans="8:9" x14ac:dyDescent="0.25">
      <c r="H336" s="21"/>
      <c r="I336" s="21"/>
    </row>
    <row r="337" spans="8:9" x14ac:dyDescent="0.25">
      <c r="H337" s="21"/>
      <c r="I337" s="21"/>
    </row>
    <row r="338" spans="8:9" x14ac:dyDescent="0.25">
      <c r="H338" s="21"/>
      <c r="I338" s="21"/>
    </row>
    <row r="339" spans="8:9" x14ac:dyDescent="0.25">
      <c r="H339" s="21"/>
      <c r="I339" s="21"/>
    </row>
    <row r="340" spans="8:9" x14ac:dyDescent="0.25">
      <c r="H340" s="21"/>
      <c r="I340" s="21"/>
    </row>
    <row r="341" spans="8:9" x14ac:dyDescent="0.25">
      <c r="H341" s="21"/>
      <c r="I341" s="21"/>
    </row>
    <row r="342" spans="8:9" x14ac:dyDescent="0.25">
      <c r="H342" s="21"/>
      <c r="I342" s="21"/>
    </row>
    <row r="343" spans="8:9" x14ac:dyDescent="0.25">
      <c r="H343" s="21"/>
      <c r="I343" s="21"/>
    </row>
    <row r="344" spans="8:9" x14ac:dyDescent="0.25">
      <c r="H344" s="21"/>
      <c r="I344" s="21"/>
    </row>
    <row r="345" spans="8:9" x14ac:dyDescent="0.25">
      <c r="H345" s="21"/>
      <c r="I345" s="21"/>
    </row>
    <row r="346" spans="8:9" x14ac:dyDescent="0.25">
      <c r="H346" s="21"/>
      <c r="I346" s="21"/>
    </row>
    <row r="347" spans="8:9" x14ac:dyDescent="0.25">
      <c r="H347" s="21"/>
      <c r="I347" s="21"/>
    </row>
    <row r="348" spans="8:9" x14ac:dyDescent="0.25">
      <c r="H348" s="21"/>
      <c r="I348" s="21"/>
    </row>
    <row r="349" spans="8:9" x14ac:dyDescent="0.25">
      <c r="H349" s="21"/>
      <c r="I349" s="21"/>
    </row>
  </sheetData>
  <conditionalFormatting sqref="A3:I5">
    <cfRule type="expression" dxfId="3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I230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1.42578125" style="24" customWidth="1"/>
    <col min="4" max="4" width="12.5703125" style="2" bestFit="1" customWidth="1"/>
    <col min="5" max="5" width="19" style="4" bestFit="1" customWidth="1"/>
    <col min="6" max="6" width="27.28515625" style="4" customWidth="1"/>
    <col min="7" max="7" width="19.5703125" style="7" customWidth="1"/>
    <col min="8" max="9" width="14.28515625" style="2" customWidth="1"/>
    <col min="10" max="10" width="10.140625" bestFit="1" customWidth="1"/>
    <col min="11" max="11" width="9.85546875" customWidth="1"/>
  </cols>
  <sheetData>
    <row r="1" spans="1:9" x14ac:dyDescent="0.25">
      <c r="A1" s="8" t="s">
        <v>18</v>
      </c>
      <c r="B1" t="s">
        <v>89</v>
      </c>
      <c r="C1" s="23"/>
      <c r="D1"/>
      <c r="E1"/>
      <c r="G1" s="15"/>
      <c r="H1"/>
      <c r="I1"/>
    </row>
    <row r="2" spans="1:9" x14ac:dyDescent="0.25">
      <c r="A2" s="8"/>
      <c r="B2"/>
      <c r="C2" s="23"/>
      <c r="D2"/>
      <c r="E2"/>
      <c r="G2" s="15"/>
      <c r="H2"/>
      <c r="I2"/>
    </row>
    <row r="3" spans="1:9" x14ac:dyDescent="0.25">
      <c r="A3" s="8" t="s">
        <v>9</v>
      </c>
      <c r="B3" s="8" t="s">
        <v>0</v>
      </c>
      <c r="C3" s="27" t="s">
        <v>10</v>
      </c>
      <c r="D3" t="s">
        <v>80</v>
      </c>
      <c r="E3" t="s">
        <v>17</v>
      </c>
      <c r="F3" s="4" t="s">
        <v>7</v>
      </c>
      <c r="G3" s="15" t="s">
        <v>1</v>
      </c>
      <c r="H3" s="33" t="s">
        <v>3</v>
      </c>
      <c r="I3" s="21" t="s">
        <v>2</v>
      </c>
    </row>
    <row r="4" spans="1:9" x14ac:dyDescent="0.25">
      <c r="A4" s="28">
        <v>43720</v>
      </c>
      <c r="B4" s="28">
        <f>Уфа_14[[#This Row],[дата передачи]]+1</f>
        <v>43721</v>
      </c>
      <c r="C4" s="2" t="s">
        <v>90</v>
      </c>
      <c r="D4" s="27" t="s">
        <v>86</v>
      </c>
      <c r="E4" s="27" t="s">
        <v>85</v>
      </c>
      <c r="F4" s="4" t="s">
        <v>55</v>
      </c>
      <c r="G4" s="26">
        <v>43722</v>
      </c>
      <c r="H4" s="5"/>
      <c r="I4" s="21">
        <v>32</v>
      </c>
    </row>
    <row r="5" spans="1:9" x14ac:dyDescent="0.25">
      <c r="A5" s="28">
        <v>43720</v>
      </c>
      <c r="B5" s="28">
        <f>Уфа_14[[#This Row],[дата передачи]]+1</f>
        <v>43721</v>
      </c>
      <c r="C5" s="2" t="s">
        <v>90</v>
      </c>
      <c r="D5" s="4" t="s">
        <v>86</v>
      </c>
      <c r="E5" s="4" t="s">
        <v>85</v>
      </c>
      <c r="F5" s="4" t="s">
        <v>55</v>
      </c>
      <c r="G5" s="26">
        <v>43723</v>
      </c>
      <c r="H5" s="5"/>
      <c r="I5" s="21">
        <v>33</v>
      </c>
    </row>
    <row r="6" spans="1:9" x14ac:dyDescent="0.25">
      <c r="A6" s="28">
        <v>43722</v>
      </c>
      <c r="B6" s="28">
        <f>Уфа_14[[#This Row],[дата передачи]]+1</f>
        <v>43723</v>
      </c>
      <c r="C6" s="2" t="s">
        <v>90</v>
      </c>
      <c r="D6" s="4" t="s">
        <v>86</v>
      </c>
      <c r="E6" s="4" t="s">
        <v>85</v>
      </c>
      <c r="F6" s="4" t="s">
        <v>55</v>
      </c>
      <c r="G6" s="26">
        <v>43725</v>
      </c>
      <c r="H6" s="5"/>
      <c r="I6" s="21">
        <v>30</v>
      </c>
    </row>
    <row r="7" spans="1:9" x14ac:dyDescent="0.25">
      <c r="A7" s="28"/>
      <c r="B7" s="28"/>
      <c r="C7" s="2"/>
      <c r="D7" s="4"/>
      <c r="G7" s="26"/>
      <c r="H7" s="21"/>
      <c r="I7" s="21"/>
    </row>
    <row r="8" spans="1:9" x14ac:dyDescent="0.25">
      <c r="A8" s="28"/>
      <c r="B8" s="28"/>
      <c r="C8" s="2"/>
      <c r="D8" s="4"/>
      <c r="G8" s="26"/>
      <c r="H8" s="21"/>
      <c r="I8" s="21"/>
    </row>
    <row r="9" spans="1:9" x14ac:dyDescent="0.25">
      <c r="A9" s="28"/>
      <c r="B9" s="28"/>
      <c r="C9" s="2"/>
      <c r="D9" s="4"/>
      <c r="G9" s="26"/>
      <c r="H9" s="21"/>
      <c r="I9" s="21"/>
    </row>
    <row r="10" spans="1:9" x14ac:dyDescent="0.25">
      <c r="A10" s="28"/>
      <c r="B10" s="28"/>
      <c r="C10" s="2"/>
      <c r="D10" s="4"/>
      <c r="G10" s="26"/>
      <c r="H10" s="21"/>
      <c r="I10" s="21"/>
    </row>
    <row r="11" spans="1:9" x14ac:dyDescent="0.25">
      <c r="A11" s="28"/>
      <c r="B11" s="28"/>
      <c r="C11" s="2"/>
      <c r="D11" s="4"/>
      <c r="G11" s="26"/>
      <c r="H11" s="21"/>
      <c r="I11" s="21"/>
    </row>
    <row r="12" spans="1:9" x14ac:dyDescent="0.25">
      <c r="A12" s="28"/>
      <c r="B12" s="28"/>
      <c r="C12" s="2"/>
      <c r="D12" s="4"/>
      <c r="G12" s="26"/>
      <c r="H12" s="21"/>
      <c r="I12" s="21"/>
    </row>
    <row r="13" spans="1:9" x14ac:dyDescent="0.25">
      <c r="A13" s="28"/>
      <c r="B13" s="28"/>
      <c r="C13" s="2"/>
      <c r="D13" s="4"/>
      <c r="G13" s="26"/>
      <c r="H13" s="21"/>
      <c r="I13" s="21"/>
    </row>
    <row r="14" spans="1:9" x14ac:dyDescent="0.25">
      <c r="A14" s="28"/>
      <c r="B14" s="28"/>
      <c r="C14" s="2"/>
      <c r="D14" s="4"/>
      <c r="G14" s="26"/>
      <c r="H14" s="21"/>
      <c r="I14" s="21"/>
    </row>
    <row r="15" spans="1:9" x14ac:dyDescent="0.25">
      <c r="A15" s="28"/>
      <c r="B15" s="28"/>
      <c r="C15" s="2"/>
      <c r="D15" s="4"/>
      <c r="G15" s="26"/>
      <c r="H15" s="21"/>
      <c r="I15" s="21"/>
    </row>
    <row r="16" spans="1:9" x14ac:dyDescent="0.25">
      <c r="A16" s="28"/>
      <c r="B16" s="28"/>
      <c r="C16" s="2"/>
      <c r="D16" s="4"/>
      <c r="G16" s="26"/>
      <c r="H16" s="21"/>
      <c r="I16" s="21"/>
    </row>
    <row r="17" spans="1:9" x14ac:dyDescent="0.25">
      <c r="A17" s="28"/>
      <c r="B17" s="28"/>
      <c r="C17" s="2"/>
      <c r="D17" s="4"/>
      <c r="G17" s="26"/>
      <c r="H17" s="21"/>
      <c r="I17" s="21"/>
    </row>
    <row r="18" spans="1:9" x14ac:dyDescent="0.25">
      <c r="A18" s="28"/>
      <c r="B18" s="28"/>
      <c r="C18" s="2"/>
      <c r="D18" s="4"/>
      <c r="G18" s="26"/>
      <c r="H18" s="21"/>
      <c r="I18" s="21"/>
    </row>
    <row r="19" spans="1:9" x14ac:dyDescent="0.25">
      <c r="A19" s="28"/>
      <c r="B19" s="28"/>
      <c r="C19" s="2"/>
      <c r="D19" s="4"/>
      <c r="G19" s="26"/>
      <c r="H19" s="21"/>
      <c r="I19" s="21"/>
    </row>
    <row r="20" spans="1:9" x14ac:dyDescent="0.25">
      <c r="A20" s="28"/>
      <c r="B20" s="28"/>
      <c r="C20" s="2"/>
      <c r="D20" s="4"/>
      <c r="G20" s="26"/>
      <c r="H20" s="21"/>
      <c r="I20" s="21"/>
    </row>
    <row r="21" spans="1:9" x14ac:dyDescent="0.25">
      <c r="A21" s="28"/>
      <c r="B21" s="28"/>
      <c r="C21" s="2"/>
      <c r="D21" s="4"/>
      <c r="G21" s="26"/>
      <c r="H21" s="21"/>
      <c r="I21" s="21"/>
    </row>
    <row r="22" spans="1:9" x14ac:dyDescent="0.25">
      <c r="A22" s="28"/>
      <c r="B22" s="28"/>
      <c r="C22" s="2"/>
      <c r="D22" s="4"/>
      <c r="G22" s="26"/>
      <c r="H22" s="21"/>
      <c r="I22" s="21"/>
    </row>
    <row r="23" spans="1:9" x14ac:dyDescent="0.25">
      <c r="A23" s="28"/>
      <c r="B23" s="28"/>
      <c r="C23" s="2"/>
      <c r="D23" s="4"/>
      <c r="G23" s="26"/>
      <c r="H23" s="21"/>
      <c r="I23" s="21"/>
    </row>
    <row r="24" spans="1:9" x14ac:dyDescent="0.25">
      <c r="A24" s="28"/>
      <c r="B24" s="28"/>
      <c r="C24" s="2"/>
      <c r="D24" s="4"/>
      <c r="G24" s="26"/>
      <c r="H24" s="21"/>
      <c r="I24" s="21"/>
    </row>
    <row r="25" spans="1:9" x14ac:dyDescent="0.25">
      <c r="A25" s="28"/>
      <c r="B25" s="28"/>
      <c r="C25" s="2"/>
      <c r="D25" s="4"/>
      <c r="G25" s="26"/>
      <c r="H25" s="21"/>
      <c r="I25" s="21"/>
    </row>
    <row r="26" spans="1:9" x14ac:dyDescent="0.25">
      <c r="A26" s="28"/>
      <c r="B26" s="28"/>
      <c r="C26" s="2"/>
      <c r="D26" s="4"/>
      <c r="G26" s="26"/>
      <c r="H26" s="21"/>
      <c r="I26" s="21"/>
    </row>
    <row r="27" spans="1:9" x14ac:dyDescent="0.25">
      <c r="A27" s="28"/>
      <c r="B27" s="28"/>
      <c r="C27" s="2"/>
      <c r="D27" s="4"/>
      <c r="G27" s="26"/>
      <c r="H27" s="21"/>
      <c r="I27" s="21"/>
    </row>
    <row r="28" spans="1:9" x14ac:dyDescent="0.25">
      <c r="A28" s="28"/>
      <c r="B28" s="28"/>
      <c r="C28" s="2"/>
      <c r="D28" s="4"/>
      <c r="G28" s="26"/>
      <c r="H28" s="21"/>
      <c r="I28" s="21"/>
    </row>
    <row r="29" spans="1:9" x14ac:dyDescent="0.25">
      <c r="A29" s="28"/>
      <c r="B29" s="28"/>
      <c r="C29" s="2"/>
      <c r="D29" s="4"/>
      <c r="G29" s="26"/>
      <c r="H29" s="21"/>
      <c r="I29" s="21"/>
    </row>
    <row r="30" spans="1:9" x14ac:dyDescent="0.25">
      <c r="A30" s="28"/>
      <c r="B30" s="28"/>
      <c r="C30" s="2"/>
      <c r="D30" s="4"/>
      <c r="G30" s="26"/>
      <c r="H30" s="21"/>
      <c r="I30" s="21"/>
    </row>
    <row r="31" spans="1:9" x14ac:dyDescent="0.25">
      <c r="A31" s="28"/>
      <c r="B31" s="28"/>
      <c r="C31" s="2"/>
      <c r="D31" s="4"/>
      <c r="G31" s="26"/>
      <c r="H31" s="21"/>
      <c r="I31" s="21"/>
    </row>
    <row r="32" spans="1:9" x14ac:dyDescent="0.25">
      <c r="A32" s="28"/>
      <c r="B32" s="28"/>
      <c r="C32" s="2"/>
      <c r="D32" s="4"/>
      <c r="G32" s="26"/>
      <c r="H32" s="21"/>
      <c r="I32" s="21"/>
    </row>
    <row r="33" spans="1:9" x14ac:dyDescent="0.25">
      <c r="A33" s="28"/>
      <c r="B33" s="28"/>
      <c r="C33" s="2"/>
      <c r="D33" s="4"/>
      <c r="G33" s="26"/>
      <c r="H33" s="21"/>
      <c r="I33" s="21"/>
    </row>
    <row r="34" spans="1:9" x14ac:dyDescent="0.25">
      <c r="A34" s="28"/>
      <c r="B34" s="28"/>
      <c r="C34" s="2"/>
      <c r="D34" s="4"/>
      <c r="G34" s="26"/>
      <c r="H34" s="21"/>
      <c r="I34" s="21"/>
    </row>
    <row r="35" spans="1:9" x14ac:dyDescent="0.25">
      <c r="A35" s="28"/>
      <c r="B35" s="28"/>
      <c r="C35" s="2"/>
      <c r="D35" s="4"/>
      <c r="G35" s="26"/>
      <c r="H35" s="21"/>
      <c r="I35" s="21"/>
    </row>
    <row r="36" spans="1:9" x14ac:dyDescent="0.25">
      <c r="A36" s="28"/>
      <c r="B36" s="28"/>
      <c r="C36" s="2"/>
      <c r="D36" s="4"/>
      <c r="G36" s="26"/>
      <c r="H36" s="21"/>
      <c r="I36" s="21"/>
    </row>
    <row r="37" spans="1:9" x14ac:dyDescent="0.25">
      <c r="A37" s="28"/>
      <c r="B37" s="28"/>
      <c r="C37" s="2"/>
      <c r="D37" s="4"/>
      <c r="G37" s="26"/>
      <c r="H37" s="21"/>
      <c r="I37" s="21"/>
    </row>
    <row r="38" spans="1:9" x14ac:dyDescent="0.25">
      <c r="A38" s="28"/>
      <c r="B38" s="28"/>
      <c r="C38" s="2"/>
      <c r="D38" s="4"/>
      <c r="G38" s="26"/>
      <c r="H38" s="21"/>
      <c r="I38" s="21"/>
    </row>
    <row r="39" spans="1:9" x14ac:dyDescent="0.25">
      <c r="A39" s="28"/>
      <c r="B39" s="28"/>
      <c r="C39" s="2"/>
      <c r="D39" s="4"/>
      <c r="G39" s="26"/>
      <c r="H39" s="21"/>
      <c r="I39" s="21"/>
    </row>
    <row r="40" spans="1:9" x14ac:dyDescent="0.25">
      <c r="A40" s="28"/>
      <c r="B40" s="28"/>
      <c r="C40" s="2"/>
      <c r="D40" s="4"/>
      <c r="G40" s="26"/>
      <c r="H40" s="21"/>
      <c r="I40" s="21"/>
    </row>
    <row r="41" spans="1:9" x14ac:dyDescent="0.25">
      <c r="A41" s="28"/>
      <c r="B41" s="28"/>
      <c r="C41" s="2"/>
      <c r="D41" s="4"/>
      <c r="G41" s="26"/>
      <c r="H41" s="21"/>
      <c r="I41" s="21"/>
    </row>
    <row r="42" spans="1:9" x14ac:dyDescent="0.25">
      <c r="A42" s="28"/>
      <c r="B42" s="28"/>
      <c r="C42" s="2"/>
      <c r="D42" s="4"/>
      <c r="G42" s="26"/>
      <c r="H42" s="21"/>
      <c r="I42" s="21"/>
    </row>
    <row r="43" spans="1:9" x14ac:dyDescent="0.25">
      <c r="A43" s="28"/>
      <c r="B43" s="28"/>
      <c r="C43" s="2"/>
      <c r="D43" s="4"/>
      <c r="G43" s="26"/>
      <c r="H43" s="21"/>
      <c r="I43" s="21"/>
    </row>
    <row r="44" spans="1:9" x14ac:dyDescent="0.25">
      <c r="A44" s="28"/>
      <c r="B44" s="28"/>
      <c r="C44" s="2"/>
      <c r="D44" s="4"/>
      <c r="G44" s="26"/>
      <c r="H44" s="21"/>
      <c r="I44" s="21"/>
    </row>
    <row r="45" spans="1:9" x14ac:dyDescent="0.25">
      <c r="A45" s="28"/>
      <c r="B45" s="28"/>
      <c r="C45" s="2"/>
      <c r="D45" s="4"/>
      <c r="G45" s="26"/>
      <c r="H45" s="21"/>
      <c r="I45" s="21"/>
    </row>
    <row r="46" spans="1:9" x14ac:dyDescent="0.25">
      <c r="A46" s="28"/>
      <c r="B46" s="28"/>
      <c r="C46" s="2"/>
      <c r="D46" s="4"/>
      <c r="G46" s="26"/>
      <c r="H46" s="21"/>
      <c r="I46" s="21"/>
    </row>
    <row r="47" spans="1:9" x14ac:dyDescent="0.25">
      <c r="A47" s="28"/>
      <c r="B47" s="28"/>
      <c r="C47" s="2"/>
      <c r="D47" s="4"/>
      <c r="G47" s="26"/>
      <c r="H47" s="21"/>
      <c r="I47" s="21"/>
    </row>
    <row r="48" spans="1:9" x14ac:dyDescent="0.25">
      <c r="A48" s="28"/>
      <c r="B48" s="28"/>
      <c r="C48" s="2"/>
      <c r="D48" s="4"/>
      <c r="G48" s="26"/>
      <c r="H48" s="21"/>
      <c r="I48" s="21"/>
    </row>
    <row r="49" spans="1:9" x14ac:dyDescent="0.25">
      <c r="A49" s="28"/>
      <c r="B49" s="28"/>
      <c r="C49" s="2"/>
      <c r="D49" s="4"/>
      <c r="G49" s="26"/>
      <c r="H49" s="21"/>
      <c r="I49" s="21"/>
    </row>
    <row r="50" spans="1:9" x14ac:dyDescent="0.25">
      <c r="A50" s="28"/>
      <c r="B50" s="28"/>
      <c r="C50" s="2"/>
      <c r="D50" s="4"/>
      <c r="G50" s="26"/>
      <c r="H50" s="21"/>
      <c r="I50" s="21"/>
    </row>
    <row r="51" spans="1:9" x14ac:dyDescent="0.25">
      <c r="A51" s="28"/>
      <c r="B51" s="28"/>
      <c r="C51" s="2"/>
      <c r="D51" s="4"/>
      <c r="G51" s="26"/>
      <c r="H51" s="21"/>
      <c r="I51" s="21"/>
    </row>
    <row r="52" spans="1:9" x14ac:dyDescent="0.25">
      <c r="A52" s="28"/>
      <c r="B52" s="28"/>
      <c r="C52" s="2"/>
      <c r="D52" s="4"/>
      <c r="G52" s="26"/>
      <c r="H52" s="21"/>
      <c r="I52" s="21"/>
    </row>
    <row r="53" spans="1:9" x14ac:dyDescent="0.25">
      <c r="A53" s="28"/>
      <c r="B53" s="28"/>
      <c r="C53" s="2"/>
      <c r="D53" s="4"/>
      <c r="G53" s="26"/>
      <c r="H53" s="21"/>
      <c r="I53" s="21"/>
    </row>
    <row r="54" spans="1:9" x14ac:dyDescent="0.25">
      <c r="A54" s="28"/>
      <c r="B54" s="28"/>
      <c r="C54" s="2"/>
      <c r="D54" s="4"/>
      <c r="G54" s="26"/>
      <c r="H54" s="21"/>
      <c r="I54" s="21"/>
    </row>
    <row r="55" spans="1:9" x14ac:dyDescent="0.25">
      <c r="A55" s="28"/>
      <c r="B55" s="28"/>
      <c r="C55" s="2"/>
      <c r="D55" s="4"/>
      <c r="G55" s="26"/>
      <c r="H55" s="21"/>
      <c r="I55" s="21"/>
    </row>
    <row r="56" spans="1:9" x14ac:dyDescent="0.25">
      <c r="A56" s="28"/>
      <c r="B56" s="28"/>
      <c r="C56" s="2"/>
      <c r="D56" s="4"/>
      <c r="G56" s="26"/>
      <c r="H56" s="21"/>
      <c r="I56" s="21"/>
    </row>
    <row r="57" spans="1:9" x14ac:dyDescent="0.25">
      <c r="A57" s="28"/>
      <c r="B57" s="28"/>
      <c r="C57" s="2"/>
      <c r="D57" s="4"/>
      <c r="G57" s="26"/>
      <c r="H57" s="21"/>
      <c r="I57" s="21"/>
    </row>
    <row r="58" spans="1:9" x14ac:dyDescent="0.25">
      <c r="A58" s="28"/>
      <c r="B58" s="28"/>
      <c r="C58" s="2"/>
      <c r="D58" s="4"/>
      <c r="G58" s="26"/>
      <c r="H58" s="21"/>
      <c r="I58" s="21"/>
    </row>
    <row r="59" spans="1:9" x14ac:dyDescent="0.25">
      <c r="A59" s="28"/>
      <c r="B59" s="28"/>
      <c r="C59" s="2"/>
      <c r="D59" s="4"/>
      <c r="G59" s="26"/>
      <c r="H59" s="21"/>
      <c r="I59" s="21"/>
    </row>
    <row r="60" spans="1:9" x14ac:dyDescent="0.25">
      <c r="A60" s="28"/>
      <c r="B60" s="28"/>
      <c r="C60" s="2"/>
      <c r="D60" s="4"/>
      <c r="G60" s="26"/>
      <c r="H60" s="21"/>
      <c r="I60" s="21"/>
    </row>
    <row r="61" spans="1:9" x14ac:dyDescent="0.25">
      <c r="A61" s="28"/>
      <c r="B61" s="28"/>
      <c r="C61" s="2"/>
      <c r="D61" s="4"/>
      <c r="G61" s="26"/>
      <c r="H61" s="21"/>
      <c r="I61" s="21"/>
    </row>
    <row r="62" spans="1:9" x14ac:dyDescent="0.25">
      <c r="A62" s="28"/>
      <c r="B62" s="28"/>
      <c r="C62" s="2"/>
      <c r="D62" s="4"/>
      <c r="G62" s="26"/>
      <c r="H62" s="21"/>
      <c r="I62" s="21"/>
    </row>
    <row r="63" spans="1:9" x14ac:dyDescent="0.25">
      <c r="A63" s="28"/>
      <c r="B63" s="28"/>
      <c r="C63" s="2"/>
      <c r="D63" s="4"/>
      <c r="G63" s="26"/>
      <c r="H63" s="21"/>
      <c r="I63" s="21"/>
    </row>
    <row r="64" spans="1:9" x14ac:dyDescent="0.25">
      <c r="A64" s="28"/>
      <c r="B64" s="28"/>
      <c r="C64" s="2"/>
      <c r="D64" s="4"/>
      <c r="G64" s="26"/>
      <c r="H64" s="21"/>
      <c r="I64" s="21"/>
    </row>
    <row r="65" spans="1:9" x14ac:dyDescent="0.25">
      <c r="A65" s="28"/>
      <c r="B65" s="28"/>
      <c r="C65" s="2"/>
      <c r="D65" s="4"/>
      <c r="G65" s="26"/>
      <c r="H65" s="21"/>
      <c r="I65" s="21"/>
    </row>
    <row r="66" spans="1:9" x14ac:dyDescent="0.25">
      <c r="A66" s="28"/>
      <c r="B66" s="28"/>
      <c r="C66" s="2"/>
      <c r="D66" s="4"/>
      <c r="G66" s="26"/>
      <c r="H66" s="21"/>
      <c r="I66" s="21"/>
    </row>
    <row r="67" spans="1:9" x14ac:dyDescent="0.25">
      <c r="A67" s="28"/>
      <c r="B67" s="28"/>
      <c r="C67" s="2"/>
      <c r="D67" s="4"/>
      <c r="G67" s="26"/>
      <c r="H67" s="21"/>
      <c r="I67" s="21"/>
    </row>
    <row r="68" spans="1:9" x14ac:dyDescent="0.25">
      <c r="A68" s="28"/>
      <c r="B68" s="28"/>
      <c r="C68" s="2"/>
      <c r="D68" s="4"/>
      <c r="G68" s="26"/>
      <c r="H68" s="21"/>
      <c r="I68" s="21"/>
    </row>
    <row r="69" spans="1:9" x14ac:dyDescent="0.25">
      <c r="A69" s="28"/>
      <c r="B69" s="28"/>
      <c r="C69" s="2"/>
      <c r="D69" s="4"/>
      <c r="G69" s="26"/>
      <c r="H69" s="21"/>
      <c r="I69" s="21"/>
    </row>
    <row r="70" spans="1:9" x14ac:dyDescent="0.25">
      <c r="A70" s="28"/>
      <c r="B70" s="28"/>
      <c r="C70" s="2"/>
      <c r="D70" s="4"/>
      <c r="G70" s="26"/>
      <c r="H70" s="21"/>
      <c r="I70" s="21"/>
    </row>
    <row r="71" spans="1:9" x14ac:dyDescent="0.25">
      <c r="A71" s="28"/>
      <c r="B71" s="28"/>
      <c r="C71" s="2"/>
      <c r="D71" s="4"/>
      <c r="G71" s="26"/>
      <c r="H71" s="21"/>
      <c r="I71" s="21"/>
    </row>
    <row r="72" spans="1:9" x14ac:dyDescent="0.25">
      <c r="A72" s="28"/>
      <c r="B72" s="28"/>
      <c r="C72" s="2"/>
      <c r="D72" s="4"/>
      <c r="G72" s="26"/>
      <c r="H72" s="21"/>
      <c r="I72" s="21"/>
    </row>
    <row r="73" spans="1:9" x14ac:dyDescent="0.25">
      <c r="A73" s="28"/>
      <c r="B73" s="28"/>
      <c r="C73" s="2"/>
      <c r="D73" s="4"/>
      <c r="G73" s="26"/>
      <c r="H73" s="21"/>
      <c r="I73" s="21"/>
    </row>
    <row r="74" spans="1:9" x14ac:dyDescent="0.25">
      <c r="A74" s="28"/>
      <c r="B74" s="28"/>
      <c r="C74" s="2"/>
      <c r="D74" s="4"/>
      <c r="G74" s="26"/>
      <c r="H74" s="21"/>
      <c r="I74" s="21"/>
    </row>
    <row r="75" spans="1:9" x14ac:dyDescent="0.25">
      <c r="A75" s="28"/>
      <c r="B75" s="28"/>
      <c r="C75" s="2"/>
      <c r="D75" s="4"/>
      <c r="G75" s="26"/>
      <c r="H75" s="21"/>
      <c r="I75" s="21"/>
    </row>
    <row r="76" spans="1:9" x14ac:dyDescent="0.25">
      <c r="A76" s="28"/>
      <c r="B76" s="28"/>
      <c r="C76" s="2"/>
      <c r="D76" s="4"/>
      <c r="G76" s="26"/>
      <c r="H76" s="21"/>
      <c r="I76" s="21"/>
    </row>
    <row r="77" spans="1:9" x14ac:dyDescent="0.25">
      <c r="A77" s="28"/>
      <c r="B77" s="28"/>
      <c r="C77" s="2"/>
      <c r="D77" s="4"/>
      <c r="G77" s="26"/>
      <c r="H77" s="21"/>
      <c r="I77" s="21"/>
    </row>
    <row r="78" spans="1:9" x14ac:dyDescent="0.25">
      <c r="A78" s="28"/>
      <c r="B78" s="28"/>
      <c r="C78" s="2"/>
      <c r="D78" s="4"/>
      <c r="G78" s="26"/>
      <c r="H78" s="21"/>
      <c r="I78" s="21"/>
    </row>
    <row r="79" spans="1:9" x14ac:dyDescent="0.25">
      <c r="A79" s="28"/>
      <c r="B79" s="28"/>
      <c r="C79" s="2"/>
      <c r="D79" s="4"/>
      <c r="G79" s="26"/>
      <c r="H79" s="21"/>
      <c r="I79" s="21"/>
    </row>
    <row r="80" spans="1:9" x14ac:dyDescent="0.25">
      <c r="A80" s="28"/>
      <c r="B80" s="28"/>
      <c r="C80" s="2"/>
      <c r="D80" s="4"/>
      <c r="G80" s="26"/>
      <c r="H80" s="21"/>
      <c r="I80" s="21"/>
    </row>
    <row r="81" spans="1:9" x14ac:dyDescent="0.25">
      <c r="A81" s="28"/>
      <c r="B81" s="28"/>
      <c r="C81" s="2"/>
      <c r="D81" s="4"/>
      <c r="G81" s="26"/>
      <c r="H81" s="21"/>
      <c r="I81" s="21"/>
    </row>
    <row r="82" spans="1:9" x14ac:dyDescent="0.25">
      <c r="A82" s="28"/>
      <c r="B82" s="28"/>
      <c r="C82" s="2"/>
      <c r="D82" s="4"/>
      <c r="G82" s="26"/>
      <c r="H82" s="21"/>
      <c r="I82" s="21"/>
    </row>
    <row r="83" spans="1:9" x14ac:dyDescent="0.25">
      <c r="A83" s="28"/>
      <c r="B83" s="28"/>
      <c r="C83" s="2"/>
      <c r="D83" s="4"/>
      <c r="G83" s="26"/>
      <c r="H83" s="21"/>
      <c r="I83" s="21"/>
    </row>
    <row r="84" spans="1:9" x14ac:dyDescent="0.25">
      <c r="A84" s="28"/>
      <c r="B84" s="28"/>
      <c r="C84" s="2"/>
      <c r="D84" s="4"/>
      <c r="G84" s="26"/>
      <c r="H84" s="21"/>
      <c r="I84" s="21"/>
    </row>
    <row r="85" spans="1:9" x14ac:dyDescent="0.25">
      <c r="A85" s="28"/>
      <c r="B85" s="28"/>
      <c r="C85" s="2"/>
      <c r="D85" s="4"/>
      <c r="G85" s="26"/>
      <c r="H85" s="21"/>
      <c r="I85" s="21"/>
    </row>
    <row r="86" spans="1:9" x14ac:dyDescent="0.25">
      <c r="A86" s="28"/>
      <c r="B86" s="28"/>
      <c r="C86" s="2"/>
      <c r="D86" s="4"/>
      <c r="G86" s="26"/>
      <c r="H86" s="21"/>
      <c r="I86" s="21"/>
    </row>
    <row r="87" spans="1:9" x14ac:dyDescent="0.25">
      <c r="A87" s="28"/>
      <c r="B87" s="28"/>
      <c r="C87" s="2"/>
      <c r="D87" s="4"/>
      <c r="G87" s="26"/>
      <c r="H87" s="21"/>
      <c r="I87" s="21"/>
    </row>
    <row r="88" spans="1:9" x14ac:dyDescent="0.25">
      <c r="A88" s="28"/>
      <c r="B88" s="28"/>
      <c r="C88" s="2"/>
      <c r="D88" s="4"/>
      <c r="G88" s="26"/>
      <c r="H88" s="21"/>
      <c r="I88" s="21"/>
    </row>
    <row r="89" spans="1:9" x14ac:dyDescent="0.25">
      <c r="A89" s="28"/>
      <c r="B89" s="28"/>
      <c r="C89" s="2"/>
      <c r="D89" s="4"/>
      <c r="G89" s="26"/>
      <c r="H89" s="21"/>
      <c r="I89" s="21"/>
    </row>
    <row r="90" spans="1:9" x14ac:dyDescent="0.25">
      <c r="A90" s="28"/>
      <c r="B90" s="28"/>
      <c r="C90" s="2"/>
      <c r="D90" s="4"/>
      <c r="G90" s="26"/>
      <c r="H90" s="21"/>
      <c r="I90" s="21"/>
    </row>
    <row r="91" spans="1:9" x14ac:dyDescent="0.25">
      <c r="A91" s="28"/>
      <c r="B91" s="28"/>
      <c r="C91" s="2"/>
      <c r="D91" s="4"/>
      <c r="G91" s="26"/>
      <c r="H91" s="21"/>
      <c r="I91" s="21"/>
    </row>
    <row r="92" spans="1:9" x14ac:dyDescent="0.25">
      <c r="A92" s="28"/>
      <c r="B92" s="28"/>
      <c r="C92" s="2"/>
      <c r="D92" s="4"/>
      <c r="G92" s="26"/>
      <c r="H92" s="21"/>
      <c r="I92" s="21"/>
    </row>
    <row r="93" spans="1:9" x14ac:dyDescent="0.25">
      <c r="A93" s="28"/>
      <c r="B93" s="28"/>
      <c r="C93" s="2"/>
      <c r="D93" s="4"/>
      <c r="G93" s="26"/>
      <c r="H93" s="21"/>
      <c r="I93" s="21"/>
    </row>
    <row r="94" spans="1:9" x14ac:dyDescent="0.25">
      <c r="A94" s="28"/>
      <c r="B94" s="28"/>
      <c r="C94" s="2"/>
      <c r="D94" s="4"/>
      <c r="G94" s="26"/>
      <c r="H94" s="21"/>
      <c r="I94" s="21"/>
    </row>
    <row r="95" spans="1:9" x14ac:dyDescent="0.25">
      <c r="A95" s="28"/>
      <c r="B95" s="28"/>
      <c r="C95" s="2"/>
      <c r="D95" s="4"/>
      <c r="G95" s="26"/>
      <c r="H95" s="21"/>
      <c r="I95" s="21"/>
    </row>
    <row r="96" spans="1:9" x14ac:dyDescent="0.25">
      <c r="A96" s="28"/>
      <c r="B96" s="28"/>
      <c r="C96" s="2"/>
      <c r="D96" s="4"/>
      <c r="G96" s="26"/>
      <c r="H96" s="21"/>
      <c r="I96" s="21"/>
    </row>
    <row r="97" spans="1:9" x14ac:dyDescent="0.25">
      <c r="A97" s="28"/>
      <c r="B97" s="28"/>
      <c r="C97" s="2"/>
      <c r="D97" s="4"/>
      <c r="G97" s="26"/>
      <c r="H97" s="21"/>
      <c r="I97" s="21"/>
    </row>
    <row r="98" spans="1:9" x14ac:dyDescent="0.25">
      <c r="A98" s="28"/>
      <c r="B98" s="28"/>
      <c r="C98" s="2"/>
      <c r="D98" s="4"/>
      <c r="G98" s="26"/>
      <c r="H98" s="21"/>
      <c r="I98" s="21"/>
    </row>
    <row r="99" spans="1:9" x14ac:dyDescent="0.25">
      <c r="A99" s="28"/>
      <c r="B99" s="28"/>
      <c r="C99" s="2"/>
      <c r="D99" s="4"/>
      <c r="G99" s="26"/>
      <c r="H99" s="21"/>
      <c r="I99" s="21"/>
    </row>
    <row r="100" spans="1:9" x14ac:dyDescent="0.25">
      <c r="A100" s="28"/>
      <c r="B100" s="28"/>
      <c r="C100" s="2"/>
      <c r="D100" s="4"/>
      <c r="G100" s="26"/>
      <c r="H100" s="21"/>
      <c r="I100" s="21"/>
    </row>
    <row r="101" spans="1:9" x14ac:dyDescent="0.25">
      <c r="A101" s="28"/>
      <c r="B101" s="28"/>
      <c r="C101" s="2"/>
      <c r="D101" s="4"/>
      <c r="G101" s="26"/>
      <c r="H101" s="21"/>
      <c r="I101" s="21"/>
    </row>
    <row r="102" spans="1:9" x14ac:dyDescent="0.25">
      <c r="A102" s="28"/>
      <c r="B102" s="28"/>
      <c r="C102" s="2"/>
      <c r="D102" s="4"/>
      <c r="G102" s="26"/>
      <c r="H102" s="21"/>
      <c r="I102" s="21"/>
    </row>
    <row r="103" spans="1:9" x14ac:dyDescent="0.25">
      <c r="A103" s="28"/>
      <c r="B103" s="28"/>
      <c r="C103" s="2"/>
      <c r="D103" s="4"/>
      <c r="G103" s="26"/>
      <c r="H103" s="21"/>
      <c r="I103" s="21"/>
    </row>
    <row r="104" spans="1:9" x14ac:dyDescent="0.25">
      <c r="A104" s="28"/>
      <c r="B104" s="28"/>
      <c r="C104" s="2"/>
      <c r="D104" s="4"/>
      <c r="G104" s="26"/>
      <c r="H104" s="21"/>
      <c r="I104" s="21"/>
    </row>
    <row r="105" spans="1:9" x14ac:dyDescent="0.25">
      <c r="A105" s="28"/>
      <c r="B105" s="28"/>
      <c r="C105" s="2"/>
      <c r="D105" s="4"/>
      <c r="G105" s="26"/>
      <c r="H105" s="21"/>
      <c r="I105" s="21"/>
    </row>
    <row r="106" spans="1:9" x14ac:dyDescent="0.25">
      <c r="A106" s="28"/>
      <c r="B106" s="28"/>
      <c r="C106" s="2"/>
      <c r="D106" s="4"/>
      <c r="G106" s="26"/>
      <c r="H106" s="21"/>
      <c r="I106" s="21"/>
    </row>
    <row r="107" spans="1:9" x14ac:dyDescent="0.25">
      <c r="A107" s="28"/>
      <c r="B107" s="28"/>
      <c r="C107" s="2"/>
      <c r="D107" s="4"/>
      <c r="G107" s="26"/>
      <c r="H107" s="21"/>
      <c r="I107" s="21"/>
    </row>
    <row r="108" spans="1:9" x14ac:dyDescent="0.25">
      <c r="A108" s="28"/>
      <c r="B108" s="28"/>
      <c r="C108" s="2"/>
      <c r="D108" s="4"/>
      <c r="G108" s="26"/>
      <c r="H108" s="21"/>
      <c r="I108" s="21"/>
    </row>
    <row r="109" spans="1:9" x14ac:dyDescent="0.25">
      <c r="A109" s="28"/>
      <c r="B109" s="28"/>
      <c r="C109" s="2"/>
      <c r="D109" s="4"/>
      <c r="G109" s="26"/>
      <c r="H109" s="21"/>
      <c r="I109" s="21"/>
    </row>
    <row r="110" spans="1:9" x14ac:dyDescent="0.25">
      <c r="A110" s="28"/>
      <c r="B110" s="28"/>
      <c r="C110" s="2"/>
      <c r="D110" s="4"/>
      <c r="G110" s="26"/>
      <c r="H110" s="21"/>
      <c r="I110" s="21"/>
    </row>
    <row r="111" spans="1:9" x14ac:dyDescent="0.25">
      <c r="A111" s="28"/>
      <c r="B111" s="28"/>
      <c r="C111" s="2"/>
      <c r="D111" s="4"/>
      <c r="G111" s="26"/>
      <c r="H111" s="21"/>
      <c r="I111" s="21"/>
    </row>
    <row r="112" spans="1:9" x14ac:dyDescent="0.25">
      <c r="A112" s="28"/>
      <c r="B112" s="28"/>
      <c r="C112" s="2"/>
      <c r="D112" s="4"/>
      <c r="G112" s="26"/>
      <c r="H112" s="21"/>
      <c r="I112" s="21"/>
    </row>
    <row r="113" spans="1:9" x14ac:dyDescent="0.25">
      <c r="A113" s="28"/>
      <c r="B113" s="28"/>
      <c r="C113" s="2"/>
      <c r="D113" s="4"/>
      <c r="G113" s="26"/>
      <c r="H113" s="21"/>
      <c r="I113" s="21"/>
    </row>
    <row r="114" spans="1:9" x14ac:dyDescent="0.25">
      <c r="A114" s="28"/>
      <c r="B114" s="28"/>
      <c r="C114" s="2"/>
      <c r="D114" s="4"/>
      <c r="G114" s="26"/>
      <c r="H114" s="21"/>
      <c r="I114" s="21"/>
    </row>
    <row r="115" spans="1:9" x14ac:dyDescent="0.25">
      <c r="A115" s="28"/>
      <c r="B115" s="28"/>
      <c r="C115" s="2"/>
      <c r="D115" s="4"/>
      <c r="G115" s="26"/>
      <c r="H115" s="21"/>
      <c r="I115" s="21"/>
    </row>
    <row r="116" spans="1:9" x14ac:dyDescent="0.25">
      <c r="A116" s="28"/>
      <c r="B116" s="28"/>
      <c r="C116" s="2"/>
      <c r="D116" s="4"/>
      <c r="G116" s="26"/>
      <c r="H116" s="21"/>
      <c r="I116" s="21"/>
    </row>
    <row r="117" spans="1:9" x14ac:dyDescent="0.25">
      <c r="A117" s="28"/>
      <c r="B117" s="28"/>
      <c r="C117" s="2"/>
      <c r="D117" s="4"/>
      <c r="G117" s="26"/>
      <c r="H117" s="21"/>
      <c r="I117" s="21"/>
    </row>
    <row r="118" spans="1:9" x14ac:dyDescent="0.25">
      <c r="A118" s="28"/>
      <c r="B118" s="28"/>
      <c r="C118" s="2"/>
      <c r="D118" s="4"/>
      <c r="G118" s="26"/>
      <c r="H118" s="21"/>
      <c r="I118" s="21"/>
    </row>
    <row r="119" spans="1:9" x14ac:dyDescent="0.25">
      <c r="A119" s="28"/>
      <c r="B119" s="28"/>
      <c r="C119" s="2"/>
      <c r="D119" s="4"/>
      <c r="G119" s="26"/>
      <c r="H119" s="21"/>
      <c r="I119" s="21"/>
    </row>
    <row r="120" spans="1:9" x14ac:dyDescent="0.25">
      <c r="A120" s="28"/>
      <c r="B120" s="28"/>
      <c r="C120" s="2"/>
      <c r="D120" s="4"/>
      <c r="G120" s="26"/>
      <c r="H120" s="21"/>
      <c r="I120" s="21"/>
    </row>
    <row r="121" spans="1:9" x14ac:dyDescent="0.25">
      <c r="A121" s="28"/>
      <c r="B121" s="28"/>
      <c r="C121" s="2"/>
      <c r="D121" s="4"/>
      <c r="G121" s="26"/>
      <c r="H121" s="21"/>
      <c r="I121" s="21"/>
    </row>
    <row r="122" spans="1:9" x14ac:dyDescent="0.25">
      <c r="A122" s="28"/>
      <c r="B122" s="28"/>
      <c r="C122" s="2"/>
      <c r="D122" s="4"/>
      <c r="G122" s="26"/>
      <c r="H122" s="21"/>
      <c r="I122" s="21"/>
    </row>
    <row r="123" spans="1:9" x14ac:dyDescent="0.25">
      <c r="A123" s="28"/>
      <c r="B123" s="28"/>
      <c r="C123" s="2"/>
      <c r="D123" s="4"/>
      <c r="G123" s="26"/>
      <c r="H123" s="21"/>
      <c r="I123" s="21"/>
    </row>
    <row r="124" spans="1:9" x14ac:dyDescent="0.25">
      <c r="A124" s="28"/>
      <c r="B124" s="28"/>
      <c r="C124" s="2"/>
      <c r="D124" s="4"/>
      <c r="G124" s="26"/>
      <c r="H124" s="21"/>
      <c r="I124" s="21"/>
    </row>
    <row r="125" spans="1:9" x14ac:dyDescent="0.25">
      <c r="A125" s="28"/>
      <c r="B125" s="28"/>
      <c r="C125" s="2"/>
      <c r="D125" s="4"/>
      <c r="G125" s="26"/>
      <c r="H125" s="21"/>
      <c r="I125" s="21"/>
    </row>
    <row r="126" spans="1:9" x14ac:dyDescent="0.25">
      <c r="A126" s="28"/>
      <c r="B126" s="28"/>
      <c r="C126" s="2"/>
      <c r="D126" s="4"/>
      <c r="G126" s="26"/>
      <c r="H126" s="21"/>
      <c r="I126" s="21"/>
    </row>
    <row r="127" spans="1:9" x14ac:dyDescent="0.25">
      <c r="A127" s="28"/>
      <c r="B127" s="28"/>
      <c r="C127" s="2"/>
      <c r="D127" s="4"/>
      <c r="G127" s="26"/>
      <c r="H127" s="21"/>
      <c r="I127" s="21"/>
    </row>
    <row r="128" spans="1:9" x14ac:dyDescent="0.25">
      <c r="A128" s="28"/>
      <c r="B128" s="28"/>
      <c r="C128" s="2"/>
      <c r="D128" s="4"/>
      <c r="G128" s="26"/>
      <c r="H128" s="21"/>
      <c r="I128" s="21"/>
    </row>
    <row r="129" spans="1:9" x14ac:dyDescent="0.25">
      <c r="A129" s="28"/>
      <c r="B129" s="28"/>
      <c r="C129" s="2"/>
      <c r="D129" s="4"/>
      <c r="G129" s="26"/>
      <c r="H129" s="21"/>
      <c r="I129" s="21"/>
    </row>
    <row r="130" spans="1:9" x14ac:dyDescent="0.25">
      <c r="A130" s="28"/>
      <c r="B130" s="28"/>
      <c r="C130" s="2"/>
      <c r="D130" s="4"/>
      <c r="G130" s="26"/>
      <c r="H130" s="21"/>
      <c r="I130" s="21"/>
    </row>
    <row r="131" spans="1:9" x14ac:dyDescent="0.25">
      <c r="A131" s="28"/>
      <c r="B131" s="28"/>
      <c r="C131" s="2"/>
      <c r="D131" s="4"/>
      <c r="G131" s="26"/>
      <c r="H131" s="21"/>
      <c r="I131" s="21"/>
    </row>
    <row r="132" spans="1:9" x14ac:dyDescent="0.25">
      <c r="A132" s="28"/>
      <c r="B132" s="28"/>
      <c r="C132" s="2"/>
      <c r="D132" s="4"/>
      <c r="G132" s="26"/>
      <c r="H132" s="21"/>
      <c r="I132" s="21"/>
    </row>
    <row r="133" spans="1:9" x14ac:dyDescent="0.25">
      <c r="A133" s="28"/>
      <c r="B133" s="28"/>
      <c r="C133" s="2"/>
      <c r="D133" s="4"/>
      <c r="G133" s="26"/>
      <c r="H133" s="21"/>
      <c r="I133" s="21"/>
    </row>
    <row r="134" spans="1:9" x14ac:dyDescent="0.25">
      <c r="A134" s="28"/>
      <c r="B134" s="28"/>
      <c r="C134" s="2"/>
      <c r="D134" s="4"/>
      <c r="G134" s="26"/>
      <c r="H134" s="21"/>
      <c r="I134" s="21"/>
    </row>
    <row r="135" spans="1:9" x14ac:dyDescent="0.25">
      <c r="A135" s="28"/>
      <c r="B135" s="28"/>
      <c r="C135" s="2"/>
      <c r="D135" s="4"/>
      <c r="G135" s="26"/>
      <c r="H135" s="21"/>
      <c r="I135" s="21"/>
    </row>
    <row r="136" spans="1:9" x14ac:dyDescent="0.25">
      <c r="A136" s="28"/>
      <c r="B136" s="28"/>
      <c r="C136" s="2"/>
      <c r="D136" s="4"/>
      <c r="G136" s="26"/>
      <c r="H136" s="21"/>
      <c r="I136" s="21"/>
    </row>
    <row r="137" spans="1:9" x14ac:dyDescent="0.25">
      <c r="A137" s="28"/>
      <c r="B137" s="28"/>
      <c r="C137" s="2"/>
      <c r="D137" s="4"/>
      <c r="G137" s="26"/>
      <c r="H137" s="21"/>
      <c r="I137" s="21"/>
    </row>
    <row r="138" spans="1:9" x14ac:dyDescent="0.25">
      <c r="A138" s="28"/>
      <c r="B138" s="28"/>
      <c r="C138" s="2"/>
      <c r="D138" s="4"/>
      <c r="G138" s="26"/>
      <c r="H138" s="21"/>
      <c r="I138" s="21"/>
    </row>
    <row r="139" spans="1:9" x14ac:dyDescent="0.25">
      <c r="A139" s="28"/>
      <c r="B139" s="28"/>
      <c r="C139" s="2"/>
      <c r="D139" s="4"/>
      <c r="G139" s="26"/>
      <c r="H139" s="21"/>
      <c r="I139" s="21"/>
    </row>
    <row r="140" spans="1:9" x14ac:dyDescent="0.25">
      <c r="A140" s="28"/>
      <c r="B140" s="28"/>
      <c r="C140" s="2"/>
      <c r="D140" s="4"/>
      <c r="G140" s="26"/>
      <c r="H140" s="21"/>
      <c r="I140" s="21"/>
    </row>
    <row r="141" spans="1:9" x14ac:dyDescent="0.25">
      <c r="A141" s="28"/>
      <c r="B141" s="28"/>
      <c r="C141" s="2"/>
      <c r="D141" s="4"/>
      <c r="G141" s="26"/>
      <c r="H141" s="21"/>
      <c r="I141" s="21"/>
    </row>
    <row r="142" spans="1:9" x14ac:dyDescent="0.25">
      <c r="A142" s="28"/>
      <c r="B142" s="28"/>
      <c r="C142" s="2"/>
      <c r="D142" s="4"/>
      <c r="G142" s="26"/>
      <c r="H142" s="21"/>
      <c r="I142" s="21"/>
    </row>
    <row r="143" spans="1:9" x14ac:dyDescent="0.25">
      <c r="A143" s="28"/>
      <c r="B143" s="28"/>
      <c r="C143" s="2"/>
      <c r="D143" s="4"/>
      <c r="G143" s="26"/>
      <c r="H143" s="21"/>
      <c r="I143" s="21"/>
    </row>
    <row r="144" spans="1:9" x14ac:dyDescent="0.25">
      <c r="A144" s="28"/>
      <c r="B144" s="28"/>
      <c r="C144" s="2"/>
      <c r="D144" s="4"/>
      <c r="G144" s="26"/>
      <c r="H144" s="21"/>
      <c r="I144" s="21"/>
    </row>
    <row r="145" spans="1:9" x14ac:dyDescent="0.25">
      <c r="A145" s="28"/>
      <c r="B145" s="28"/>
      <c r="C145" s="2"/>
      <c r="D145" s="4"/>
      <c r="G145" s="26"/>
      <c r="H145" s="21"/>
      <c r="I145" s="21"/>
    </row>
    <row r="146" spans="1:9" x14ac:dyDescent="0.25">
      <c r="A146" s="28"/>
      <c r="B146" s="28"/>
      <c r="C146" s="2"/>
      <c r="D146" s="4"/>
      <c r="G146" s="26"/>
      <c r="H146" s="21"/>
      <c r="I146" s="21"/>
    </row>
    <row r="147" spans="1:9" x14ac:dyDescent="0.25">
      <c r="A147" s="28"/>
      <c r="B147" s="28"/>
      <c r="C147" s="2"/>
      <c r="D147" s="4"/>
      <c r="G147" s="26"/>
      <c r="H147" s="21"/>
      <c r="I147" s="21"/>
    </row>
    <row r="148" spans="1:9" x14ac:dyDescent="0.25">
      <c r="A148" s="28"/>
      <c r="B148" s="28"/>
      <c r="C148" s="2"/>
      <c r="D148" s="4"/>
      <c r="G148" s="26"/>
      <c r="H148" s="21"/>
      <c r="I148" s="21"/>
    </row>
    <row r="149" spans="1:9" x14ac:dyDescent="0.25">
      <c r="A149" s="28"/>
      <c r="B149" s="28"/>
      <c r="C149" s="2"/>
      <c r="D149" s="4"/>
      <c r="G149" s="26"/>
      <c r="H149" s="21"/>
      <c r="I149" s="21"/>
    </row>
    <row r="150" spans="1:9" x14ac:dyDescent="0.25">
      <c r="A150" s="28"/>
      <c r="B150" s="28"/>
      <c r="C150" s="2"/>
      <c r="D150" s="4"/>
      <c r="G150" s="26"/>
      <c r="H150" s="21"/>
      <c r="I150" s="21"/>
    </row>
    <row r="151" spans="1:9" x14ac:dyDescent="0.25">
      <c r="A151" s="28"/>
      <c r="B151" s="28"/>
      <c r="C151" s="2"/>
      <c r="D151" s="4"/>
      <c r="G151" s="26"/>
      <c r="H151" s="21"/>
      <c r="I151" s="21"/>
    </row>
    <row r="152" spans="1:9" x14ac:dyDescent="0.25">
      <c r="A152" s="28"/>
      <c r="B152" s="28"/>
      <c r="C152" s="2"/>
      <c r="D152" s="4"/>
      <c r="G152" s="26"/>
      <c r="H152" s="21"/>
      <c r="I152" s="21"/>
    </row>
    <row r="153" spans="1:9" x14ac:dyDescent="0.25">
      <c r="A153" s="28"/>
      <c r="B153" s="28"/>
      <c r="C153" s="2"/>
      <c r="D153" s="4"/>
      <c r="G153" s="26"/>
      <c r="H153" s="21"/>
      <c r="I153" s="21"/>
    </row>
    <row r="154" spans="1:9" x14ac:dyDescent="0.25">
      <c r="A154" s="28"/>
      <c r="B154" s="28"/>
      <c r="C154" s="2"/>
      <c r="D154" s="4"/>
      <c r="G154" s="26"/>
      <c r="H154" s="21"/>
      <c r="I154" s="21"/>
    </row>
    <row r="155" spans="1:9" x14ac:dyDescent="0.25">
      <c r="A155" s="28"/>
      <c r="B155" s="28"/>
      <c r="C155" s="2"/>
      <c r="D155" s="4"/>
      <c r="G155" s="26"/>
      <c r="H155" s="21"/>
      <c r="I155" s="21"/>
    </row>
    <row r="156" spans="1:9" x14ac:dyDescent="0.25">
      <c r="A156" s="28"/>
      <c r="B156" s="28"/>
      <c r="C156" s="2"/>
      <c r="D156" s="4"/>
      <c r="G156" s="26"/>
      <c r="H156" s="21"/>
      <c r="I156" s="21"/>
    </row>
    <row r="157" spans="1:9" x14ac:dyDescent="0.25">
      <c r="A157" s="28"/>
      <c r="B157" s="28"/>
      <c r="C157" s="2"/>
      <c r="D157" s="4"/>
      <c r="G157" s="26"/>
      <c r="H157" s="21"/>
      <c r="I157" s="21"/>
    </row>
    <row r="158" spans="1:9" x14ac:dyDescent="0.25">
      <c r="A158" s="28"/>
      <c r="B158" s="28"/>
      <c r="C158" s="2"/>
      <c r="D158" s="4"/>
      <c r="G158" s="26"/>
      <c r="H158" s="21"/>
      <c r="I158" s="21"/>
    </row>
    <row r="159" spans="1:9" x14ac:dyDescent="0.25">
      <c r="A159" s="28"/>
      <c r="B159" s="28"/>
      <c r="C159" s="2"/>
      <c r="D159" s="4"/>
      <c r="G159" s="26"/>
      <c r="H159" s="21"/>
      <c r="I159" s="21"/>
    </row>
    <row r="160" spans="1:9" x14ac:dyDescent="0.25">
      <c r="A160" s="28"/>
      <c r="B160" s="31"/>
      <c r="C160" s="2"/>
      <c r="D160" s="4"/>
      <c r="G160" s="26"/>
      <c r="H160" s="21"/>
      <c r="I160" s="21"/>
    </row>
    <row r="161" spans="1:9" x14ac:dyDescent="0.25">
      <c r="A161" s="28"/>
      <c r="B161" s="31"/>
      <c r="C161" s="2"/>
      <c r="D161" s="4"/>
      <c r="G161" s="26"/>
      <c r="H161" s="21"/>
      <c r="I161" s="21"/>
    </row>
    <row r="162" spans="1:9" x14ac:dyDescent="0.25">
      <c r="A162" s="28"/>
      <c r="B162" s="31"/>
      <c r="C162" s="2"/>
      <c r="D162" s="4"/>
      <c r="G162" s="26"/>
      <c r="H162" s="21"/>
      <c r="I162" s="21"/>
    </row>
    <row r="163" spans="1:9" x14ac:dyDescent="0.25">
      <c r="A163" s="28"/>
      <c r="B163" s="31"/>
      <c r="C163" s="2"/>
      <c r="D163" s="4"/>
      <c r="G163" s="26"/>
      <c r="H163" s="21"/>
      <c r="I163" s="21"/>
    </row>
    <row r="164" spans="1:9" x14ac:dyDescent="0.25">
      <c r="A164" s="28"/>
      <c r="B164" s="31"/>
      <c r="C164" s="2"/>
      <c r="D164" s="4"/>
      <c r="G164" s="26"/>
      <c r="H164" s="21"/>
      <c r="I164" s="21"/>
    </row>
    <row r="165" spans="1:9" x14ac:dyDescent="0.25">
      <c r="A165" s="28"/>
      <c r="B165" s="31"/>
      <c r="C165" s="2"/>
      <c r="D165" s="4"/>
      <c r="G165" s="26"/>
      <c r="H165" s="21"/>
      <c r="I165" s="21"/>
    </row>
    <row r="166" spans="1:9" x14ac:dyDescent="0.25">
      <c r="A166" s="28"/>
      <c r="B166" s="31"/>
      <c r="C166" s="2"/>
      <c r="D166" s="4"/>
      <c r="G166" s="26"/>
      <c r="H166" s="21"/>
      <c r="I166" s="21"/>
    </row>
    <row r="167" spans="1:9" x14ac:dyDescent="0.25">
      <c r="A167" s="28"/>
      <c r="B167" s="31"/>
      <c r="C167" s="2"/>
      <c r="D167" s="4"/>
      <c r="G167" s="26"/>
      <c r="H167" s="21"/>
      <c r="I167" s="21"/>
    </row>
    <row r="168" spans="1:9" x14ac:dyDescent="0.25">
      <c r="H168" s="21"/>
      <c r="I168" s="21"/>
    </row>
    <row r="169" spans="1:9" x14ac:dyDescent="0.25">
      <c r="H169" s="21"/>
      <c r="I169" s="21"/>
    </row>
    <row r="170" spans="1:9" x14ac:dyDescent="0.25">
      <c r="H170" s="21"/>
      <c r="I170" s="21"/>
    </row>
    <row r="171" spans="1:9" x14ac:dyDescent="0.25">
      <c r="H171" s="21"/>
      <c r="I171" s="21"/>
    </row>
    <row r="172" spans="1:9" x14ac:dyDescent="0.25">
      <c r="H172" s="21"/>
      <c r="I172" s="21"/>
    </row>
    <row r="173" spans="1:9" x14ac:dyDescent="0.25">
      <c r="H173" s="21"/>
      <c r="I173" s="21"/>
    </row>
    <row r="174" spans="1:9" x14ac:dyDescent="0.25">
      <c r="H174" s="21"/>
      <c r="I174" s="21"/>
    </row>
    <row r="175" spans="1:9" x14ac:dyDescent="0.25">
      <c r="H175" s="21"/>
      <c r="I175" s="21"/>
    </row>
    <row r="176" spans="1:9" x14ac:dyDescent="0.25">
      <c r="H176" s="21"/>
      <c r="I176" s="21"/>
    </row>
    <row r="177" spans="8:9" x14ac:dyDescent="0.25">
      <c r="H177" s="21"/>
      <c r="I177" s="21"/>
    </row>
    <row r="178" spans="8:9" x14ac:dyDescent="0.25">
      <c r="H178" s="21"/>
      <c r="I178" s="21"/>
    </row>
    <row r="179" spans="8:9" x14ac:dyDescent="0.25">
      <c r="H179" s="21"/>
      <c r="I179" s="21"/>
    </row>
    <row r="180" spans="8:9" x14ac:dyDescent="0.25">
      <c r="H180" s="21"/>
      <c r="I180" s="21"/>
    </row>
    <row r="181" spans="8:9" x14ac:dyDescent="0.25">
      <c r="H181" s="21"/>
      <c r="I181" s="21"/>
    </row>
    <row r="182" spans="8:9" x14ac:dyDescent="0.25">
      <c r="H182" s="21"/>
      <c r="I182" s="21"/>
    </row>
    <row r="183" spans="8:9" x14ac:dyDescent="0.25">
      <c r="H183" s="21"/>
      <c r="I183" s="21"/>
    </row>
    <row r="184" spans="8:9" x14ac:dyDescent="0.25">
      <c r="H184" s="21"/>
      <c r="I184" s="21"/>
    </row>
    <row r="185" spans="8:9" x14ac:dyDescent="0.25">
      <c r="H185" s="21"/>
      <c r="I185" s="21"/>
    </row>
    <row r="186" spans="8:9" x14ac:dyDescent="0.25">
      <c r="H186" s="21"/>
      <c r="I186" s="21"/>
    </row>
    <row r="187" spans="8:9" x14ac:dyDescent="0.25">
      <c r="H187" s="21"/>
      <c r="I187" s="21"/>
    </row>
    <row r="188" spans="8:9" x14ac:dyDescent="0.25">
      <c r="H188" s="21"/>
      <c r="I188" s="21"/>
    </row>
    <row r="189" spans="8:9" x14ac:dyDescent="0.25">
      <c r="H189" s="21"/>
      <c r="I189" s="21"/>
    </row>
    <row r="190" spans="8:9" x14ac:dyDescent="0.25">
      <c r="H190" s="21"/>
      <c r="I190" s="21"/>
    </row>
    <row r="191" spans="8:9" x14ac:dyDescent="0.25">
      <c r="H191" s="21"/>
      <c r="I191" s="21"/>
    </row>
    <row r="192" spans="8:9" x14ac:dyDescent="0.25">
      <c r="H192" s="21"/>
      <c r="I192" s="21"/>
    </row>
    <row r="193" spans="8:9" x14ac:dyDescent="0.25">
      <c r="H193" s="21"/>
      <c r="I193" s="21"/>
    </row>
    <row r="194" spans="8:9" x14ac:dyDescent="0.25">
      <c r="H194" s="21"/>
      <c r="I194" s="21"/>
    </row>
    <row r="195" spans="8:9" x14ac:dyDescent="0.25">
      <c r="H195" s="21"/>
      <c r="I195" s="21"/>
    </row>
    <row r="196" spans="8:9" x14ac:dyDescent="0.25">
      <c r="H196" s="21"/>
      <c r="I196" s="21"/>
    </row>
    <row r="197" spans="8:9" x14ac:dyDescent="0.25">
      <c r="H197" s="21"/>
      <c r="I197" s="21"/>
    </row>
    <row r="198" spans="8:9" x14ac:dyDescent="0.25">
      <c r="H198" s="21"/>
      <c r="I198" s="21"/>
    </row>
    <row r="199" spans="8:9" x14ac:dyDescent="0.25">
      <c r="H199" s="21"/>
      <c r="I199" s="21"/>
    </row>
    <row r="200" spans="8:9" x14ac:dyDescent="0.25">
      <c r="H200" s="21"/>
      <c r="I200" s="21"/>
    </row>
    <row r="201" spans="8:9" x14ac:dyDescent="0.25">
      <c r="H201" s="21"/>
      <c r="I201" s="21"/>
    </row>
    <row r="202" spans="8:9" x14ac:dyDescent="0.25">
      <c r="H202" s="21"/>
      <c r="I202" s="21"/>
    </row>
    <row r="203" spans="8:9" x14ac:dyDescent="0.25">
      <c r="H203" s="21"/>
      <c r="I203" s="21"/>
    </row>
    <row r="204" spans="8:9" x14ac:dyDescent="0.25">
      <c r="H204" s="21"/>
      <c r="I204" s="21"/>
    </row>
    <row r="205" spans="8:9" x14ac:dyDescent="0.25">
      <c r="H205" s="21"/>
      <c r="I205" s="21"/>
    </row>
    <row r="206" spans="8:9" x14ac:dyDescent="0.25">
      <c r="H206" s="21"/>
      <c r="I206" s="21"/>
    </row>
    <row r="207" spans="8:9" x14ac:dyDescent="0.25">
      <c r="H207" s="21"/>
      <c r="I207" s="21"/>
    </row>
    <row r="208" spans="8:9" x14ac:dyDescent="0.25">
      <c r="H208" s="21"/>
      <c r="I208" s="21"/>
    </row>
    <row r="209" spans="8:9" x14ac:dyDescent="0.25">
      <c r="H209" s="21"/>
      <c r="I209" s="21"/>
    </row>
    <row r="210" spans="8:9" x14ac:dyDescent="0.25">
      <c r="H210" s="21"/>
      <c r="I210" s="21"/>
    </row>
    <row r="211" spans="8:9" x14ac:dyDescent="0.25">
      <c r="H211" s="21"/>
      <c r="I211" s="21"/>
    </row>
    <row r="212" spans="8:9" x14ac:dyDescent="0.25">
      <c r="H212" s="21"/>
      <c r="I212" s="21"/>
    </row>
    <row r="213" spans="8:9" x14ac:dyDescent="0.25">
      <c r="H213" s="21"/>
      <c r="I213" s="21"/>
    </row>
    <row r="214" spans="8:9" x14ac:dyDescent="0.25">
      <c r="H214" s="21"/>
      <c r="I214" s="21"/>
    </row>
    <row r="215" spans="8:9" x14ac:dyDescent="0.25">
      <c r="H215" s="21"/>
      <c r="I215" s="21"/>
    </row>
    <row r="216" spans="8:9" x14ac:dyDescent="0.25">
      <c r="H216" s="21"/>
      <c r="I216" s="21"/>
    </row>
    <row r="217" spans="8:9" x14ac:dyDescent="0.25">
      <c r="H217" s="21"/>
      <c r="I217" s="21"/>
    </row>
    <row r="218" spans="8:9" x14ac:dyDescent="0.25">
      <c r="H218" s="21"/>
      <c r="I218" s="21"/>
    </row>
    <row r="219" spans="8:9" x14ac:dyDescent="0.25">
      <c r="H219" s="21"/>
      <c r="I219" s="21"/>
    </row>
    <row r="220" spans="8:9" x14ac:dyDescent="0.25">
      <c r="H220" s="21"/>
      <c r="I220" s="21"/>
    </row>
    <row r="221" spans="8:9" x14ac:dyDescent="0.25">
      <c r="H221" s="21"/>
      <c r="I221" s="21"/>
    </row>
    <row r="222" spans="8:9" x14ac:dyDescent="0.25">
      <c r="H222" s="21"/>
      <c r="I222" s="21"/>
    </row>
    <row r="223" spans="8:9" x14ac:dyDescent="0.25">
      <c r="H223" s="21"/>
      <c r="I223" s="21"/>
    </row>
    <row r="224" spans="8:9" x14ac:dyDescent="0.25">
      <c r="H224" s="21"/>
      <c r="I224" s="21"/>
    </row>
    <row r="225" spans="8:9" x14ac:dyDescent="0.25">
      <c r="H225" s="21"/>
      <c r="I225" s="21"/>
    </row>
    <row r="226" spans="8:9" x14ac:dyDescent="0.25">
      <c r="H226" s="21"/>
      <c r="I226" s="21"/>
    </row>
    <row r="227" spans="8:9" x14ac:dyDescent="0.25">
      <c r="H227" s="21"/>
      <c r="I227" s="21"/>
    </row>
    <row r="228" spans="8:9" x14ac:dyDescent="0.25">
      <c r="H228" s="21"/>
      <c r="I228" s="21"/>
    </row>
    <row r="229" spans="8:9" x14ac:dyDescent="0.25">
      <c r="H229" s="21"/>
      <c r="I229" s="21"/>
    </row>
    <row r="230" spans="8:9" x14ac:dyDescent="0.25">
      <c r="H230" s="21"/>
      <c r="I230" s="21"/>
    </row>
  </sheetData>
  <conditionalFormatting sqref="A3:I6">
    <cfRule type="expression" dxfId="2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I5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5" style="24" bestFit="1" customWidth="1"/>
    <col min="4" max="4" width="12.5703125" style="2" bestFit="1" customWidth="1"/>
    <col min="5" max="5" width="24.85546875" style="4" bestFit="1" customWidth="1"/>
    <col min="6" max="6" width="26" style="4" bestFit="1" customWidth="1"/>
    <col min="7" max="7" width="19.5703125" style="7" customWidth="1"/>
    <col min="8" max="9" width="17.7109375" style="6" customWidth="1"/>
    <col min="10" max="12" width="10.140625" bestFit="1" customWidth="1"/>
  </cols>
  <sheetData>
    <row r="1" spans="1:9" x14ac:dyDescent="0.25">
      <c r="A1" s="8" t="s">
        <v>18</v>
      </c>
      <c r="B1" t="s">
        <v>77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ht="15" customHeight="1" x14ac:dyDescent="0.25">
      <c r="A4" s="28">
        <v>43477</v>
      </c>
      <c r="B4" s="28">
        <f>Пенза13[[#This Row],[дата передачи]]+3</f>
        <v>43480</v>
      </c>
      <c r="C4" s="2" t="s">
        <v>76</v>
      </c>
      <c r="D4" s="27" t="s">
        <v>74</v>
      </c>
      <c r="E4" s="27" t="s">
        <v>71</v>
      </c>
      <c r="F4" s="4" t="s">
        <v>39</v>
      </c>
      <c r="G4" s="26">
        <v>43481</v>
      </c>
      <c r="H4" s="16">
        <v>20</v>
      </c>
      <c r="I4" s="5">
        <v>0</v>
      </c>
    </row>
    <row r="5" spans="1:9" ht="15" customHeight="1" x14ac:dyDescent="0.25">
      <c r="A5" s="28">
        <v>43477</v>
      </c>
      <c r="B5" s="28">
        <f>Пенза13[[#This Row],[дата передачи]]+3</f>
        <v>43480</v>
      </c>
      <c r="C5" s="2" t="s">
        <v>76</v>
      </c>
      <c r="D5" s="27" t="s">
        <v>70</v>
      </c>
      <c r="E5" s="27" t="s">
        <v>71</v>
      </c>
      <c r="F5" s="4" t="s">
        <v>24</v>
      </c>
      <c r="G5" s="26">
        <v>43481</v>
      </c>
      <c r="H5" s="16">
        <v>0</v>
      </c>
      <c r="I5" s="5">
        <v>16</v>
      </c>
    </row>
  </sheetData>
  <conditionalFormatting sqref="A3:I5">
    <cfRule type="expression" dxfId="1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I5"/>
  <sheetViews>
    <sheetView zoomScaleNormal="100" workbookViewId="0">
      <selection activeCell="F25" sqref="F25"/>
    </sheetView>
  </sheetViews>
  <sheetFormatPr defaultRowHeight="15" x14ac:dyDescent="0.25"/>
  <cols>
    <col min="1" max="1" width="17" style="9" bestFit="1" customWidth="1"/>
    <col min="2" max="2" width="17.85546875" style="1" bestFit="1" customWidth="1"/>
    <col min="3" max="3" width="35" style="24" bestFit="1" customWidth="1"/>
    <col min="4" max="4" width="12.5703125" style="2" bestFit="1" customWidth="1"/>
    <col min="5" max="5" width="24.85546875" style="4" bestFit="1" customWidth="1"/>
    <col min="6" max="6" width="26" style="4" bestFit="1" customWidth="1"/>
    <col min="7" max="7" width="19.5703125" style="7" customWidth="1"/>
    <col min="8" max="9" width="17.7109375" style="6" customWidth="1"/>
    <col min="10" max="12" width="10.140625" bestFit="1" customWidth="1"/>
  </cols>
  <sheetData>
    <row r="1" spans="1:9" x14ac:dyDescent="0.25">
      <c r="A1" s="8" t="s">
        <v>18</v>
      </c>
      <c r="B1" t="s">
        <v>98</v>
      </c>
      <c r="C1" s="23"/>
      <c r="D1"/>
      <c r="E1"/>
      <c r="G1" s="15"/>
      <c r="H1" s="35"/>
      <c r="I1" s="35"/>
    </row>
    <row r="2" spans="1:9" x14ac:dyDescent="0.25">
      <c r="A2" s="8"/>
      <c r="B2"/>
      <c r="C2" s="23"/>
      <c r="D2"/>
      <c r="E2"/>
      <c r="G2" s="15"/>
      <c r="H2" s="35"/>
      <c r="I2" s="35"/>
    </row>
    <row r="3" spans="1:9" x14ac:dyDescent="0.25">
      <c r="A3" s="8" t="s">
        <v>9</v>
      </c>
      <c r="B3" s="8" t="s">
        <v>0</v>
      </c>
      <c r="C3" s="23" t="s">
        <v>10</v>
      </c>
      <c r="D3" t="s">
        <v>80</v>
      </c>
      <c r="E3" t="s">
        <v>17</v>
      </c>
      <c r="F3" s="4" t="s">
        <v>7</v>
      </c>
      <c r="G3" s="15" t="s">
        <v>1</v>
      </c>
      <c r="H3" s="16" t="s">
        <v>2</v>
      </c>
      <c r="I3" s="36" t="s">
        <v>3</v>
      </c>
    </row>
    <row r="4" spans="1:9" ht="15" customHeight="1" x14ac:dyDescent="0.25">
      <c r="A4" s="28">
        <v>43810</v>
      </c>
      <c r="B4" s="28">
        <f>Барнаул[[#This Row],[дата передачи]]+3</f>
        <v>43813</v>
      </c>
      <c r="C4" s="2" t="s">
        <v>99</v>
      </c>
      <c r="D4" s="27" t="s">
        <v>96</v>
      </c>
      <c r="E4" s="27" t="s">
        <v>97</v>
      </c>
      <c r="F4" s="4" t="s">
        <v>6</v>
      </c>
      <c r="G4" s="26">
        <v>43813</v>
      </c>
      <c r="H4" s="16">
        <v>28</v>
      </c>
      <c r="I4" s="5">
        <v>0</v>
      </c>
    </row>
    <row r="5" spans="1:9" x14ac:dyDescent="0.25">
      <c r="A5" s="28">
        <v>43812</v>
      </c>
      <c r="B5" s="28">
        <f>Барнаул[[#This Row],[дата передачи]]+3</f>
        <v>43815</v>
      </c>
      <c r="C5" s="2" t="s">
        <v>99</v>
      </c>
      <c r="D5" s="27" t="s">
        <v>96</v>
      </c>
      <c r="E5" s="27" t="s">
        <v>97</v>
      </c>
      <c r="F5" s="4" t="s">
        <v>6</v>
      </c>
      <c r="G5" s="26">
        <v>43815</v>
      </c>
      <c r="H5" s="16">
        <v>28</v>
      </c>
      <c r="I5" s="5">
        <v>0</v>
      </c>
    </row>
  </sheetData>
  <conditionalFormatting sqref="A3:I5">
    <cfRule type="expression" dxfId="0" priority="1" stopIfTrue="1">
      <formula>$H3+$I3=0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</vt:i4>
      </vt:variant>
    </vt:vector>
  </HeadingPairs>
  <TitlesOfParts>
    <vt:vector size="17" baseType="lpstr">
      <vt:lpstr>loaderSheet</vt:lpstr>
      <vt:lpstr>TrainCheckList</vt:lpstr>
      <vt:lpstr>Ростов</vt:lpstr>
      <vt:lpstr>Адлер</vt:lpstr>
      <vt:lpstr>Калининград</vt:lpstr>
      <vt:lpstr>Владивосток</vt:lpstr>
      <vt:lpstr>Чита</vt:lpstr>
      <vt:lpstr>Красноярск</vt:lpstr>
      <vt:lpstr>Абакан</vt:lpstr>
      <vt:lpstr>Ульяновск</vt:lpstr>
      <vt:lpstr>Уфа</vt:lpstr>
      <vt:lpstr>Пенза</vt:lpstr>
      <vt:lpstr>Самара</vt:lpstr>
      <vt:lpstr>Оренбург</vt:lpstr>
      <vt:lpstr>Новосибирск</vt:lpstr>
      <vt:lpstr>Барнаул</vt:lpstr>
      <vt:lpstr>loaderSheet!Область_печати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ildarjan</dc:creator>
  <cp:lastModifiedBy>ildarjan</cp:lastModifiedBy>
  <cp:lastPrinted>2019-07-26T15:21:06Z</cp:lastPrinted>
  <dcterms:created xsi:type="dcterms:W3CDTF">2019-07-25T16:20:04Z</dcterms:created>
  <dcterms:modified xsi:type="dcterms:W3CDTF">2020-05-24T18:35:00Z</dcterms:modified>
</cp:coreProperties>
</file>